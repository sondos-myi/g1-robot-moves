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9.xml.rels" ContentType="application/vnd.openxmlformats-package.relationships+xml"/>
  <Override PartName="/xl/worksheets/_rels/sheet6.xml.rels" ContentType="application/vnd.openxmlformats-package.relationships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_rels/sheet7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Overview" sheetId="1" state="visible" r:id="rId2"/>
    <sheet name="Dances" sheetId="2" state="visible" r:id="rId3"/>
    <sheet name="Greetings" sheetId="3" state="visible" r:id="rId4"/>
    <sheet name="Pointing" sheetId="4" state="visible" r:id="rId5"/>
    <sheet name="Talking" sheetId="5" state="visible" r:id="rId6"/>
    <sheet name="Hearts &amp; Kisses" sheetId="6" state="visible" r:id="rId7"/>
    <sheet name="Celebrating" sheetId="7" state="visible" r:id="rId8"/>
    <sheet name="Poses" sheetId="8" state="visible" r:id="rId9"/>
    <sheet name="System" sheetId="9" state="visible" r:id="rId10"/>
  </sheets>
  <definedNames>
    <definedName function="false" hidden="true" localSheetId="6" name="_xlnm._FilterDatabase" vbProcedure="false">Celebrating!$A$2:$G$14</definedName>
    <definedName function="false" hidden="true" localSheetId="1" name="_xlnm._FilterDatabase" vbProcedure="false">Dances!$A$2:$G$12</definedName>
    <definedName function="false" hidden="true" localSheetId="2" name="_xlnm._FilterDatabase" vbProcedure="false">Greetings!$A$2:$G$16</definedName>
    <definedName function="false" hidden="true" localSheetId="5" name="_xlnm._FilterDatabase" vbProcedure="false">'Hearts &amp; Kisses'!$A$2:$G$10</definedName>
    <definedName function="false" hidden="true" localSheetId="3" name="_xlnm._FilterDatabase" vbProcedure="false">Pointing!$A$2:$G$12</definedName>
    <definedName function="false" hidden="true" localSheetId="7" name="_xlnm._FilterDatabase" vbProcedure="false">Poses!$A$2:$G$10</definedName>
    <definedName function="false" hidden="true" localSheetId="8" name="_xlnm._FilterDatabase" vbProcedure="false">System!$A$2:$G$6</definedName>
    <definedName function="false" hidden="true" localSheetId="4" name="_xlnm._FilterDatabase" vbProcedure="false">Talking!$A$2:$G$15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<sst xmlns="http://schemas.openxmlformats.org/spreadsheetml/2006/main" count="328" uniqueCount="197">
  <si>
    <t xml:space="preserve">G1 built-in whole-body motions (firmware 1.5.6)</t>
  </si>
  <si>
    <t xml:space="preserve">Category</t>
  </si>
  <si>
    <t xml:space="preserve">Motions</t>
  </si>
  <si>
    <t xml:space="preserve">Tested</t>
  </si>
  <si>
    <t xml:space="preserve">Description</t>
  </si>
  <si>
    <t xml:space="preserve">Dances</t>
  </si>
  <si>
    <t xml:space="preserve">Whole-body dances. Feet move: keep 2-3 m clear, gantry rope slack for first runs.</t>
  </si>
  <si>
    <t xml:space="preserve">Greetings</t>
  </si>
  <si>
    <t xml:space="preserve">Hello, welcome, bow, salute, handshake.</t>
  </si>
  <si>
    <t xml:space="preserve">Pointing</t>
  </si>
  <si>
    <t xml:space="preserve">Pointing and presenting.</t>
  </si>
  <si>
    <t xml:space="preserve">Talking</t>
  </si>
  <si>
    <t xml:space="preserve">Emphasis and thinking gestures - useful while the voice bot speaks.</t>
  </si>
  <si>
    <t xml:space="preserve">Hearts &amp; Kisses</t>
  </si>
  <si>
    <t xml:space="preserve">Hearts and blown kisses.</t>
  </si>
  <si>
    <t xml:space="preserve">Celebrating</t>
  </si>
  <si>
    <t xml:space="preserve">Celebration and fun.</t>
  </si>
  <si>
    <t xml:space="preserve">Poses</t>
  </si>
  <si>
    <t xml:space="preserve">Poses and idle behaviors.</t>
  </si>
  <si>
    <t xml:space="preserve">System</t>
  </si>
  <si>
    <t xml:space="preserve">DO NOT USE for now: 402 makes the robot lie on the floor.</t>
  </si>
  <si>
    <t xml:space="preserve">Total</t>
  </si>
  <si>
    <t xml:space="preserve">Dances: Whole-body dances. Feet move: keep 2-3 m clear, gantry rope slack for first runs.</t>
  </si>
  <si>
    <t xml:space="preserve">ID</t>
  </si>
  <si>
    <t xml:space="preserve">SetFsmId value</t>
  </si>
  <si>
    <t xml:space="preserve">Firmware name</t>
  </si>
  <si>
    <t xml:space="preserve">Meaning</t>
  </si>
  <si>
    <t xml:space="preserve">Length (s)</t>
  </si>
  <si>
    <t xml:space="preserve">Notes</t>
  </si>
  <si>
    <t xml:space="preserve">vq_POPPING1_003_SY_09478d7c_G1_50hz</t>
  </si>
  <si>
    <t xml:space="preserve">Popping dance</t>
  </si>
  <si>
    <t xml:space="preserve">No</t>
  </si>
  <si>
    <t xml:space="preserve">vq_POPPING8_001_v1_G1_50hz</t>
  </si>
  <si>
    <t xml:space="preserve">vq_POPPING9_001_v1_G1_50hz</t>
  </si>
  <si>
    <t xml:space="preserve">vq_POPPING1_002_SY_83b11255_G1_50hz</t>
  </si>
  <si>
    <t xml:space="preserve">Popping dance (shorter version)</t>
  </si>
  <si>
    <t xml:space="preserve">vq_YSKJ_JIXIEWU3_001_XX_b1f11bf1_G1_50hz</t>
  </si>
  <si>
    <r>
      <rPr>
        <sz val="10"/>
        <rFont val="Noto Sans CJK SC"/>
        <family val="2"/>
        <charset val="1"/>
      </rPr>
      <t xml:space="preserve">机械舞 </t>
    </r>
    <r>
      <rPr>
        <sz val="10"/>
        <rFont val="Arial"/>
        <family val="0"/>
        <charset val="1"/>
      </rPr>
      <t xml:space="preserve">Robot dance</t>
    </r>
  </si>
  <si>
    <t xml:space="preserve">Yes</t>
  </si>
  <si>
    <t xml:space="preserve">Real robot 2026-10-06: 550 for ~18 s -&gt; back to 801 by itself</t>
  </si>
  <si>
    <t xml:space="preserve">vq_YSKJ_NEWBALEI_008_v1_G1_50hz</t>
  </si>
  <si>
    <t xml:space="preserve">"New ballet"? (guess)</t>
  </si>
  <si>
    <t xml:space="preserve">vq_G1_2026_0527_143543_Take_074_Skeleton0.bvh_50hz</t>
  </si>
  <si>
    <t xml:space="preserve">Mocap dance (Take 074)</t>
  </si>
  <si>
    <t xml:space="preserve">vq_Take_100_Skeleton0_3ece638d_G1_50hz</t>
  </si>
  <si>
    <t xml:space="preserve">Mocap dance (Take 100)</t>
  </si>
  <si>
    <t xml:space="preserve">vq_YSKJ_WOYAOFANGUOXUESHAN_001_XX_f3f9bad0_G1_50hz</t>
  </si>
  <si>
    <r>
      <rPr>
        <sz val="10"/>
        <rFont val="Noto Sans CJK SC"/>
        <family val="2"/>
        <charset val="1"/>
      </rPr>
      <t xml:space="preserve">我要翻过雪山 </t>
    </r>
    <r>
      <rPr>
        <sz val="10"/>
        <rFont val="Arial"/>
        <family val="0"/>
        <charset val="1"/>
      </rPr>
      <t xml:space="preserve">"I want to cross the snowy mountain" song dance</t>
    </r>
  </si>
  <si>
    <t xml:space="preserve">yingbin</t>
  </si>
  <si>
    <r>
      <rPr>
        <sz val="10"/>
        <rFont val="Noto Sans CJK SC"/>
        <family val="2"/>
        <charset val="1"/>
      </rPr>
      <t xml:space="preserve">迎宾 </t>
    </r>
    <r>
      <rPr>
        <sz val="10"/>
        <rFont val="Arial"/>
        <family val="0"/>
        <charset val="1"/>
      </rPr>
      <t xml:space="preserve">Welcoming-guests routine</t>
    </r>
  </si>
  <si>
    <t xml:space="preserve">Greetings: Hello, welcome, bow, salute, handshake.</t>
  </si>
  <si>
    <t xml:space="preserve">hello_left_hand</t>
  </si>
  <si>
    <t xml:space="preserve">Wave hello, left hand</t>
  </si>
  <si>
    <t xml:space="preserve">hello_right_hand</t>
  </si>
  <si>
    <t xml:space="preserve">Wave hello, right hand</t>
  </si>
  <si>
    <t xml:space="preserve">hello_both_hand</t>
  </si>
  <si>
    <t xml:space="preserve">Wave hello, both hands</t>
  </si>
  <si>
    <t xml:space="preserve">vq_shuangshoudazhaohu</t>
  </si>
  <si>
    <r>
      <rPr>
        <sz val="10"/>
        <rFont val="Noto Sans CJK SC"/>
        <family val="2"/>
        <charset val="1"/>
      </rPr>
      <t xml:space="preserve">双手打招呼 </t>
    </r>
    <r>
      <rPr>
        <sz val="10"/>
        <rFont val="Arial"/>
        <family val="0"/>
        <charset val="1"/>
      </rPr>
      <t xml:space="preserve">Greet with both hands</t>
    </r>
  </si>
  <si>
    <t xml:space="preserve">vq_shuangshouhuanying</t>
  </si>
  <si>
    <r>
      <rPr>
        <sz val="10"/>
        <rFont val="Noto Sans CJK SC"/>
        <family val="2"/>
        <charset val="1"/>
      </rPr>
      <t xml:space="preserve">双手欢迎 </t>
    </r>
    <r>
      <rPr>
        <sz val="10"/>
        <rFont val="Arial"/>
        <family val="0"/>
        <charset val="1"/>
      </rPr>
      <t xml:space="preserve">Welcome with both hands</t>
    </r>
  </si>
  <si>
    <t xml:space="preserve">vq_youshoudazhaohu</t>
  </si>
  <si>
    <r>
      <rPr>
        <sz val="10"/>
        <rFont val="Noto Sans CJK SC"/>
        <family val="2"/>
        <charset val="1"/>
      </rPr>
      <t xml:space="preserve">右手打招呼 </t>
    </r>
    <r>
      <rPr>
        <sz val="10"/>
        <rFont val="Arial"/>
        <family val="0"/>
        <charset val="1"/>
      </rPr>
      <t xml:space="preserve">Greet with right hand</t>
    </r>
  </si>
  <si>
    <t xml:space="preserve">vq_zuoshouzhaohu</t>
  </si>
  <si>
    <r>
      <rPr>
        <sz val="10"/>
        <rFont val="Noto Sans CJK SC"/>
        <family val="2"/>
        <charset val="1"/>
      </rPr>
      <t xml:space="preserve">左手招呼 </t>
    </r>
    <r>
      <rPr>
        <sz val="10"/>
        <rFont val="Arial"/>
        <family val="0"/>
        <charset val="1"/>
      </rPr>
      <t xml:space="preserve">Greet with left hand</t>
    </r>
  </si>
  <si>
    <t xml:space="preserve">vq_wave_above_head</t>
  </si>
  <si>
    <t xml:space="preserve">Big wave above the head</t>
  </si>
  <si>
    <t xml:space="preserve">vq_wave_under_head</t>
  </si>
  <si>
    <t xml:space="preserve">Wave below the head</t>
  </si>
  <si>
    <t xml:space="preserve">bow</t>
  </si>
  <si>
    <t xml:space="preserve">Bow</t>
  </si>
  <si>
    <t xml:space="preserve">vq_jingli</t>
  </si>
  <si>
    <r>
      <rPr>
        <sz val="10"/>
        <rFont val="Noto Sans CJK SC"/>
        <family val="2"/>
        <charset val="1"/>
      </rPr>
      <t xml:space="preserve">敬礼 </t>
    </r>
    <r>
      <rPr>
        <sz val="10"/>
        <rFont val="Arial"/>
        <family val="0"/>
        <charset val="1"/>
      </rPr>
      <t xml:space="preserve">Salute</t>
    </r>
  </si>
  <si>
    <t xml:space="preserve">Real robot 2026-10-06: run mode 801 -&gt; 550 for ~5 s -&gt; back to 801 by itself</t>
  </si>
  <si>
    <t xml:space="preserve">vq_shake_hand</t>
  </si>
  <si>
    <t xml:space="preserve">Handshake</t>
  </si>
  <si>
    <t xml:space="preserve">shake_right_hand</t>
  </si>
  <si>
    <t xml:space="preserve">Handshake, right hand</t>
  </si>
  <si>
    <t xml:space="preserve">vq_ziwojieshao</t>
  </si>
  <si>
    <r>
      <rPr>
        <sz val="10"/>
        <rFont val="Noto Sans CJK SC"/>
        <family val="2"/>
        <charset val="1"/>
      </rPr>
      <t xml:space="preserve">自我介绍 </t>
    </r>
    <r>
      <rPr>
        <sz val="10"/>
        <rFont val="Arial"/>
        <family val="0"/>
        <charset val="1"/>
      </rPr>
      <t xml:space="preserve">Self-introduction gesture</t>
    </r>
  </si>
  <si>
    <t xml:space="preserve">Pointing: Pointing and presenting.</t>
  </si>
  <si>
    <t xml:space="preserve">gesture_to_left</t>
  </si>
  <si>
    <t xml:space="preserve">Present / point to the left</t>
  </si>
  <si>
    <t xml:space="preserve">gesture_to_right</t>
  </si>
  <si>
    <t xml:space="preserve">Present / point to the right</t>
  </si>
  <si>
    <t xml:space="preserve">vq_shuangshouyouzhi</t>
  </si>
  <si>
    <r>
      <rPr>
        <sz val="10"/>
        <rFont val="Noto Sans CJK SC"/>
        <family val="2"/>
        <charset val="1"/>
      </rPr>
      <t xml:space="preserve">双手右指 </t>
    </r>
    <r>
      <rPr>
        <sz val="10"/>
        <rFont val="Arial"/>
        <family val="0"/>
        <charset val="1"/>
      </rPr>
      <t xml:space="preserve">Both hands point right</t>
    </r>
  </si>
  <si>
    <t xml:space="preserve">vq_shuangshouzuozhi</t>
  </si>
  <si>
    <r>
      <rPr>
        <sz val="10"/>
        <rFont val="Noto Sans CJK SC"/>
        <family val="2"/>
        <charset val="1"/>
      </rPr>
      <t xml:space="preserve">双手左指 </t>
    </r>
    <r>
      <rPr>
        <sz val="10"/>
        <rFont val="Arial"/>
        <family val="0"/>
        <charset val="1"/>
      </rPr>
      <t xml:space="preserve">Both hands point left</t>
    </r>
  </si>
  <si>
    <t xml:space="preserve">vq_youshouqianzhi</t>
  </si>
  <si>
    <r>
      <rPr>
        <sz val="10"/>
        <rFont val="Noto Sans CJK SC"/>
        <family val="2"/>
        <charset val="1"/>
      </rPr>
      <t xml:space="preserve">右手前指 </t>
    </r>
    <r>
      <rPr>
        <sz val="10"/>
        <rFont val="Arial"/>
        <family val="0"/>
        <charset val="1"/>
      </rPr>
      <t xml:space="preserve">Right hand points forward</t>
    </r>
  </si>
  <si>
    <t xml:space="preserve">vq_zuoshouzhixiang</t>
  </si>
  <si>
    <r>
      <rPr>
        <sz val="10"/>
        <rFont val="Noto Sans CJK SC"/>
        <family val="2"/>
        <charset val="1"/>
      </rPr>
      <t xml:space="preserve">左手指向 </t>
    </r>
    <r>
      <rPr>
        <sz val="10"/>
        <rFont val="Arial"/>
        <family val="0"/>
        <charset val="1"/>
      </rPr>
      <t xml:space="preserve">Left hand points</t>
    </r>
  </si>
  <si>
    <t xml:space="preserve">vq_extend_right_arm_forward</t>
  </si>
  <si>
    <t xml:space="preserve">Right arm extended forward</t>
  </si>
  <si>
    <t xml:space="preserve">vq_forward_push</t>
  </si>
  <si>
    <t xml:space="preserve">Push forward</t>
  </si>
  <si>
    <t xml:space="preserve">hands_gesture_something</t>
  </si>
  <si>
    <t xml:space="preserve">Presenting something with the hands</t>
  </si>
  <si>
    <t xml:space="preserve">vq_view</t>
  </si>
  <si>
    <t xml:space="preserve">Look around / viewing? (guess)</t>
  </si>
  <si>
    <t xml:space="preserve">Talking: Emphasis and thinking gestures - useful while the voice bot speaks.</t>
  </si>
  <si>
    <t xml:space="preserve">emphasize_left</t>
  </si>
  <si>
    <t xml:space="preserve">Emphasis gesture, left</t>
  </si>
  <si>
    <t xml:space="preserve">emphasize_front</t>
  </si>
  <si>
    <t xml:space="preserve">Emphasis gesture, front</t>
  </si>
  <si>
    <t xml:space="preserve">emphasize_right</t>
  </si>
  <si>
    <t xml:space="preserve">Emphasis gesture, right</t>
  </si>
  <si>
    <t xml:space="preserve">vq_emphasize</t>
  </si>
  <si>
    <t xml:space="preserve">Emphasis</t>
  </si>
  <si>
    <t xml:space="preserve">shrug</t>
  </si>
  <si>
    <t xml:space="preserve">Shrug</t>
  </si>
  <si>
    <t xml:space="preserve">vq_sikao</t>
  </si>
  <si>
    <r>
      <rPr>
        <sz val="10"/>
        <rFont val="Noto Sans CJK SC"/>
        <family val="2"/>
        <charset val="1"/>
      </rPr>
      <t xml:space="preserve">思考 </t>
    </r>
    <r>
      <rPr>
        <sz val="10"/>
        <rFont val="Arial"/>
        <family val="0"/>
        <charset val="1"/>
      </rPr>
      <t xml:space="preserve">Thinking pose</t>
    </r>
  </si>
  <si>
    <t xml:space="preserve">rest_chin</t>
  </si>
  <si>
    <t xml:space="preserve">Hand on chin (thinking)</t>
  </si>
  <si>
    <t xml:space="preserve">vq_refuse</t>
  </si>
  <si>
    <t xml:space="preserve">Refuse / "no"</t>
  </si>
  <si>
    <t xml:space="preserve">vq_fuxiongqueren</t>
  </si>
  <si>
    <r>
      <rPr>
        <sz val="10"/>
        <rFont val="Noto Sans CJK SC"/>
        <family val="2"/>
        <charset val="1"/>
      </rPr>
      <t xml:space="preserve">抚胸确认 </t>
    </r>
    <r>
      <rPr>
        <sz val="10"/>
        <rFont val="Arial"/>
        <family val="0"/>
        <charset val="1"/>
      </rPr>
      <t xml:space="preserve">Hand on chest, "I agree / promise"</t>
    </r>
  </si>
  <si>
    <t xml:space="preserve">vq_right_hand_on_heart</t>
  </si>
  <si>
    <t xml:space="preserve">Right hand on heart</t>
  </si>
  <si>
    <t xml:space="preserve">vq_right_hand_on_mouth</t>
  </si>
  <si>
    <t xml:space="preserve">Right hand on mouth</t>
  </si>
  <si>
    <t xml:space="preserve">vq_youqiecai</t>
  </si>
  <si>
    <r>
      <rPr>
        <sz val="10"/>
        <rFont val="Noto Sans CJK SC"/>
        <family val="2"/>
        <charset val="1"/>
      </rPr>
      <t xml:space="preserve">右切菜 </t>
    </r>
    <r>
      <rPr>
        <sz val="10"/>
        <rFont val="Arial"/>
        <family val="0"/>
        <charset val="1"/>
      </rPr>
      <t xml:space="preserve">"Chopping" hand motion, right (guess: explaining gesture)</t>
    </r>
  </si>
  <si>
    <t xml:space="preserve">vq_zuoqiecai</t>
  </si>
  <si>
    <r>
      <rPr>
        <sz val="10"/>
        <rFont val="Noto Sans CJK SC"/>
        <family val="2"/>
        <charset val="1"/>
      </rPr>
      <t xml:space="preserve">左切菜 </t>
    </r>
    <r>
      <rPr>
        <sz val="10"/>
        <rFont val="Arial"/>
        <family val="0"/>
        <charset val="1"/>
      </rPr>
      <t xml:space="preserve">"Chopping" hand motion, left (guess)</t>
    </r>
  </si>
  <si>
    <t xml:space="preserve">Hearts &amp; Kisses: Hearts and blown kisses.</t>
  </si>
  <si>
    <t xml:space="preserve">make_heart_upon_head</t>
  </si>
  <si>
    <t xml:space="preserve">Heart shape above the head</t>
  </si>
  <si>
    <t xml:space="preserve">vq_toudingbixin</t>
  </si>
  <si>
    <r>
      <rPr>
        <sz val="10"/>
        <rFont val="Noto Sans CJK SC"/>
        <family val="2"/>
        <charset val="1"/>
      </rPr>
      <t xml:space="preserve">头顶比心 </t>
    </r>
    <r>
      <rPr>
        <sz val="10"/>
        <rFont val="Arial"/>
        <family val="0"/>
        <charset val="1"/>
      </rPr>
      <t xml:space="preserve">Heart above the head (v2)</t>
    </r>
  </si>
  <si>
    <t xml:space="preserve">vq_make_heart_with_right_hand</t>
  </si>
  <si>
    <t xml:space="preserve">Heart with right hand</t>
  </si>
  <si>
    <t xml:space="preserve">make_left_kiss</t>
  </si>
  <si>
    <t xml:space="preserve">Kiss, left hand</t>
  </si>
  <si>
    <t xml:space="preserve">vq_blow_kiss_with_both_hands</t>
  </si>
  <si>
    <t xml:space="preserve">Blow a kiss, both hands</t>
  </si>
  <si>
    <t xml:space="preserve">vq_blow_kiss_with_left_hand</t>
  </si>
  <si>
    <t xml:space="preserve">Blow a kiss, left hand</t>
  </si>
  <si>
    <t xml:space="preserve">vq_blow_kiss_with_right_hand</t>
  </si>
  <si>
    <t xml:space="preserve">Blow a kiss, right hand</t>
  </si>
  <si>
    <t xml:space="preserve">vq_feiwen</t>
  </si>
  <si>
    <r>
      <rPr>
        <sz val="10"/>
        <rFont val="Noto Sans CJK SC"/>
        <family val="2"/>
        <charset val="1"/>
      </rPr>
      <t xml:space="preserve">飞吻 </t>
    </r>
    <r>
      <rPr>
        <sz val="10"/>
        <rFont val="Arial"/>
        <family val="0"/>
        <charset val="1"/>
      </rPr>
      <t xml:space="preserve">Flying kiss</t>
    </r>
  </si>
  <si>
    <t xml:space="preserve">Celebrating: Celebration and fun.</t>
  </si>
  <si>
    <t xml:space="preserve">vq_both_hands_up</t>
  </si>
  <si>
    <t xml:space="preserve">Both hands up</t>
  </si>
  <si>
    <t xml:space="preserve">vq_both_hands_up_deviate_right</t>
  </si>
  <si>
    <t xml:space="preserve">Both hands up, leaning right</t>
  </si>
  <si>
    <t xml:space="preserve">vq_right_hand_up</t>
  </si>
  <si>
    <t xml:space="preserve">Right hand up</t>
  </si>
  <si>
    <t xml:space="preserve">vq_box_both_hand_win</t>
  </si>
  <si>
    <t xml:space="preserve">Boxing victory pose, both hands</t>
  </si>
  <si>
    <t xml:space="preserve">vq_box_left_hand_win</t>
  </si>
  <si>
    <t xml:space="preserve">Boxing victory pose, left hand</t>
  </si>
  <si>
    <t xml:space="preserve">vq_box_right_hand_win</t>
  </si>
  <si>
    <t xml:space="preserve">Boxing victory pose, right hand</t>
  </si>
  <si>
    <t xml:space="preserve">vq_clap</t>
  </si>
  <si>
    <t xml:space="preserve">Clap</t>
  </si>
  <si>
    <t xml:space="preserve">vq_high_five</t>
  </si>
  <si>
    <t xml:space="preserve">High five</t>
  </si>
  <si>
    <t xml:space="preserve">vq_hug</t>
  </si>
  <si>
    <t xml:space="preserve">Hug</t>
  </si>
  <si>
    <t xml:space="preserve">vq_ultraman_ray</t>
  </si>
  <si>
    <t xml:space="preserve">Ultraman ray pose</t>
  </si>
  <si>
    <t xml:space="preserve">vq_shuangshoupaijian</t>
  </si>
  <si>
    <r>
      <rPr>
        <sz val="10"/>
        <rFont val="Noto Sans CJK SC"/>
        <family val="2"/>
        <charset val="1"/>
      </rPr>
      <t xml:space="preserve">双手拍肩</t>
    </r>
    <r>
      <rPr>
        <sz val="10"/>
        <rFont val="Arial"/>
        <family val="0"/>
        <charset val="1"/>
      </rPr>
      <t xml:space="preserve">? Patting shoulders? (guess)</t>
    </r>
  </si>
  <si>
    <t xml:space="preserve">vq_shuangshouxiongqianfeishou</t>
  </si>
  <si>
    <t xml:space="preserve">Hands "flying" in front of chest? (guess)</t>
  </si>
  <si>
    <t xml:space="preserve">Poses: Poses and idle behaviors.</t>
  </si>
  <si>
    <t xml:space="preserve">akimbo</t>
  </si>
  <si>
    <t xml:space="preserve">Hands on hips</t>
  </si>
  <si>
    <t xml:space="preserve">vq_chayao</t>
  </si>
  <si>
    <r>
      <rPr>
        <sz val="10"/>
        <rFont val="Noto Sans CJK SC"/>
        <family val="2"/>
        <charset val="1"/>
      </rPr>
      <t xml:space="preserve">叉腰 </t>
    </r>
    <r>
      <rPr>
        <sz val="10"/>
        <rFont val="Arial"/>
        <family val="0"/>
        <charset val="1"/>
      </rPr>
      <t xml:space="preserve">Hands on hips (v2)</t>
    </r>
  </si>
  <si>
    <t xml:space="preserve">hands_cross_front</t>
  </si>
  <si>
    <t xml:space="preserve">Arms crossed in front</t>
  </si>
  <si>
    <t xml:space="preserve">hands_cross_back</t>
  </si>
  <si>
    <t xml:space="preserve">Hands behind the back</t>
  </si>
  <si>
    <t xml:space="preserve">scratch_right_head</t>
  </si>
  <si>
    <t xml:space="preserve">Scratching head, right hand</t>
  </si>
  <si>
    <t xml:space="preserve">vq_scratch_head</t>
  </si>
  <si>
    <t xml:space="preserve">Scratching head</t>
  </si>
  <si>
    <t xml:space="preserve">vq_shuangshouwulian</t>
  </si>
  <si>
    <r>
      <rPr>
        <sz val="10"/>
        <rFont val="Noto Sans CJK SC"/>
        <family val="2"/>
        <charset val="1"/>
      </rPr>
      <t xml:space="preserve">双手捂脸 </t>
    </r>
    <r>
      <rPr>
        <sz val="10"/>
        <rFont val="Arial"/>
        <family val="0"/>
        <charset val="1"/>
      </rPr>
      <t xml:space="preserve">Covering face with both hands (shy)</t>
    </r>
  </si>
  <si>
    <t xml:space="preserve">vq_naopigu</t>
  </si>
  <si>
    <r>
      <rPr>
        <sz val="10"/>
        <rFont val="Noto Sans CJK SC"/>
        <family val="2"/>
        <charset val="1"/>
      </rPr>
      <t xml:space="preserve">挠屁股 </t>
    </r>
    <r>
      <rPr>
        <sz val="10"/>
        <rFont val="Arial"/>
        <family val="0"/>
        <charset val="1"/>
      </rPr>
      <t xml:space="preserve">Scratching its butt</t>
    </r>
  </si>
  <si>
    <t xml:space="preserve">System: DO NOT USE for now: 402 makes the robot lie on the floor.</t>
  </si>
  <si>
    <t xml:space="preserve">stance</t>
  </si>
  <si>
    <t xml:space="preserve">Return to stance</t>
  </si>
  <si>
    <t xml:space="preserve">vq_Y-qishen-faceup_001_get_up</t>
  </si>
  <si>
    <t xml:space="preserve">Stand up from lying on its back</t>
  </si>
  <si>
    <t xml:space="preserve">Avoid: lie-down / get-up from the floor</t>
  </si>
  <si>
    <t xml:space="preserve">vq_Y-qishen-faceup_001_lie_down</t>
  </si>
  <si>
    <t xml:space="preserve">LIES DOWN on the floor</t>
  </si>
  <si>
    <t xml:space="preserve">vq_Y-qishen-facedown_002_get_up</t>
  </si>
  <si>
    <t xml:space="preserve">Stand up from lying face down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</si>
</sst>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.0"/>
  </numFmts>
  <fonts count="1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0"/>
      <name val="Noto Sans CJK SC"/>
      <family val="2"/>
      <charset val="1"/>
    </font>
    <font>
      <b val="true"/>
      <sz val="11"/>
      <color rgb="FFC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C6EFCE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92.42"/>
    <col collapsed="false" customWidth="true" hidden="false" outlineLevel="0" max="3" min="2" style="0" width="10"/>
    <col collapsed="false" customWidth="true" hidden="false" outlineLevel="0" max="4" min="4" style="0" width="75"/>
  </cols>
  <sheetData>
    <row r="1" customFormat="false" ht="17.35" hidden="false" customHeight="false" outlineLevel="0" collapsed="false">
      <c r="A1" s="1" t="s">
        <v>0</v>
      </c>
    </row>
    <row r="2" customFormat="false" ht="13.8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</row>
    <row r="3" customFormat="false" ht="13.8" hidden="false" customHeight="false" outlineLevel="0" collapsed="false">
      <c r="A3" s="3" t="s">
        <v>5</v>
      </c>
      <c r="B3" s="3" t="n">
        <f aca="false">COUNTA(Dances!A3:A12)</f>
        <v>10</v>
      </c>
      <c r="C3" s="3" t="n">
        <f aca="false">COUNTIF(Dances!F3:F12,"Yes")</f>
        <v>1</v>
      </c>
      <c r="D3" s="3" t="s">
        <v>6</v>
      </c>
    </row>
    <row r="4" customFormat="false" ht="13.8" hidden="false" customHeight="false" outlineLevel="0" collapsed="false">
      <c r="A4" s="3" t="s">
        <v>7</v>
      </c>
      <c r="B4" s="3" t="n">
        <f aca="false">COUNTA(Greetings!A3:A16)</f>
        <v>14</v>
      </c>
      <c r="C4" s="3" t="n">
        <f aca="false">COUNTIF(Greetings!F3:F16,"Yes")</f>
        <v>1</v>
      </c>
      <c r="D4" s="3" t="s">
        <v>8</v>
      </c>
    </row>
    <row r="5" customFormat="false" ht="13.8" hidden="false" customHeight="false" outlineLevel="0" collapsed="false">
      <c r="A5" s="3" t="s">
        <v>9</v>
      </c>
      <c r="B5" s="3" t="n">
        <f aca="false">COUNTA(Pointing!A3:A12)</f>
        <v>10</v>
      </c>
      <c r="C5" s="3" t="n">
        <f aca="false">COUNTIF(Pointing!F3:F12,"Yes")</f>
        <v>0</v>
      </c>
      <c r="D5" s="3" t="s">
        <v>10</v>
      </c>
    </row>
    <row r="6" customFormat="false" ht="13.8" hidden="false" customHeight="false" outlineLevel="0" collapsed="false">
      <c r="A6" s="3" t="s">
        <v>11</v>
      </c>
      <c r="B6" s="3" t="n">
        <f aca="false">COUNTA(Talking!A3:A15)</f>
        <v>13</v>
      </c>
      <c r="C6" s="3" t="n">
        <f aca="false">COUNTIF(Talking!F3:F15,"Yes")</f>
        <v>0</v>
      </c>
      <c r="D6" s="3" t="s">
        <v>12</v>
      </c>
    </row>
    <row r="7" customFormat="false" ht="13.8" hidden="false" customHeight="false" outlineLevel="0" collapsed="false">
      <c r="A7" s="3" t="s">
        <v>13</v>
      </c>
      <c r="B7" s="3" t="n">
        <f aca="false">COUNTA('Hearts &amp; Kisses'!A3:A10)</f>
        <v>8</v>
      </c>
      <c r="C7" s="3" t="n">
        <f aca="false">COUNTIF('Hearts &amp; Kisses'!F3:F10,"Yes")</f>
        <v>0</v>
      </c>
      <c r="D7" s="3" t="s">
        <v>14</v>
      </c>
    </row>
    <row r="8" customFormat="false" ht="13.8" hidden="false" customHeight="false" outlineLevel="0" collapsed="false">
      <c r="A8" s="3" t="s">
        <v>15</v>
      </c>
      <c r="B8" s="3" t="n">
        <f aca="false">COUNTA(Celebrating!A3:A14)</f>
        <v>12</v>
      </c>
      <c r="C8" s="3" t="n">
        <f aca="false">COUNTIF(Celebrating!F3:F14,"Yes")</f>
        <v>0</v>
      </c>
      <c r="D8" s="3" t="s">
        <v>16</v>
      </c>
    </row>
    <row r="9" customFormat="false" ht="13.8" hidden="false" customHeight="false" outlineLevel="0" collapsed="false">
      <c r="A9" s="3" t="s">
        <v>17</v>
      </c>
      <c r="B9" s="3" t="n">
        <f aca="false">COUNTA(Poses!A3:A10)</f>
        <v>8</v>
      </c>
      <c r="C9" s="3" t="n">
        <f aca="false">COUNTIF(Poses!F3:F10,"Yes")</f>
        <v>0</v>
      </c>
      <c r="D9" s="3" t="s">
        <v>18</v>
      </c>
    </row>
    <row r="10" customFormat="false" ht="13.8" hidden="false" customHeight="false" outlineLevel="0" collapsed="false">
      <c r="A10" s="3" t="s">
        <v>19</v>
      </c>
      <c r="B10" s="3" t="n">
        <f aca="false">COUNTA(System!A3:A6)</f>
        <v>4</v>
      </c>
      <c r="C10" s="3" t="n">
        <f aca="false">COUNTIF(System!F3:F6,"Yes")</f>
        <v>0</v>
      </c>
      <c r="D10" s="3" t="s">
        <v>20</v>
      </c>
    </row>
    <row r="11" customFormat="false" ht="13.8" hidden="false" customHeight="false" outlineLevel="0" collapsed="false">
      <c r="A11" s="4" t="s">
        <v>21</v>
      </c>
      <c r="B11" s="4" t="n">
        <f aca="false">SUM(B3:B10)</f>
        <v>79</v>
      </c>
      <c r="C11" s="4" t="n">
        <v>2</v>
      </c>
    </row>
    <row r="12" customFormat="false" ht="13.8" hidden="false" customHeight="false" outlineLevel="0" collapsed="false"/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F7" activeCellId="0" sqref="F7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5"/>
    <col collapsed="false" customWidth="true" hidden="false" outlineLevel="0" max="3" min="3" style="0" width="48"/>
    <col collapsed="false" customWidth="true" hidden="false" outlineLevel="0" max="4" min="4" style="0" width="52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60"/>
  </cols>
  <sheetData>
    <row r="1" customFormat="false" ht="15" hidden="false" customHeight="false" outlineLevel="0" collapsed="false">
      <c r="A1" s="5" t="s">
        <v>22</v>
      </c>
    </row>
    <row r="2" customFormat="false" ht="15" hidden="false" customHeight="false" outlineLevel="0" collapsed="false">
      <c r="A2" s="6" t="s">
        <v>23</v>
      </c>
      <c r="B2" s="6" t="s">
        <v>24</v>
      </c>
      <c r="C2" s="6" t="s">
        <v>25</v>
      </c>
      <c r="D2" s="6" t="s">
        <v>26</v>
      </c>
      <c r="E2" s="6" t="s">
        <v>27</v>
      </c>
      <c r="F2" s="6" t="s">
        <v>3</v>
      </c>
      <c r="G2" s="6" t="s">
        <v>28</v>
      </c>
    </row>
    <row r="3" customFormat="false" ht="15" hidden="false" customHeight="false" outlineLevel="0" collapsed="false">
      <c r="A3" s="7" t="n">
        <v>502</v>
      </c>
      <c r="B3" s="8" t="n">
        <f aca="false">550000+A3</f>
        <v>550502</v>
      </c>
      <c r="C3" s="9" t="s">
        <v>29</v>
      </c>
      <c r="D3" s="9" t="s">
        <v>30</v>
      </c>
      <c r="E3" s="10" t="n">
        <v>38.6</v>
      </c>
      <c r="F3" s="7" t="s">
        <v>31</v>
      </c>
      <c r="G3" s="9"/>
    </row>
    <row r="4" customFormat="false" ht="15" hidden="false" customHeight="false" outlineLevel="0" collapsed="false">
      <c r="A4" s="7" t="n">
        <v>503</v>
      </c>
      <c r="B4" s="8" t="n">
        <f aca="false">550000+A4</f>
        <v>550503</v>
      </c>
      <c r="C4" s="9" t="s">
        <v>32</v>
      </c>
      <c r="D4" s="9" t="s">
        <v>30</v>
      </c>
      <c r="E4" s="10" t="n">
        <v>25.8</v>
      </c>
      <c r="F4" s="7" t="s">
        <v>31</v>
      </c>
      <c r="G4" s="9"/>
    </row>
    <row r="5" customFormat="false" ht="15" hidden="false" customHeight="false" outlineLevel="0" collapsed="false">
      <c r="A5" s="7" t="n">
        <v>504</v>
      </c>
      <c r="B5" s="8" t="n">
        <f aca="false">550000+A5</f>
        <v>550504</v>
      </c>
      <c r="C5" s="9" t="s">
        <v>33</v>
      </c>
      <c r="D5" s="9" t="s">
        <v>30</v>
      </c>
      <c r="E5" s="10" t="n">
        <v>30</v>
      </c>
      <c r="F5" s="7" t="s">
        <v>31</v>
      </c>
      <c r="G5" s="9"/>
    </row>
    <row r="6" customFormat="false" ht="15" hidden="false" customHeight="false" outlineLevel="0" collapsed="false">
      <c r="A6" s="7" t="n">
        <v>602</v>
      </c>
      <c r="B6" s="8" t="n">
        <f aca="false">550000+A6</f>
        <v>550602</v>
      </c>
      <c r="C6" s="9" t="s">
        <v>34</v>
      </c>
      <c r="D6" s="9" t="s">
        <v>35</v>
      </c>
      <c r="E6" s="10" t="n">
        <v>18.3</v>
      </c>
      <c r="F6" s="7" t="s">
        <v>31</v>
      </c>
      <c r="G6" s="9"/>
    </row>
    <row r="7" customFormat="false" ht="15" hidden="false" customHeight="false" outlineLevel="0" collapsed="false">
      <c r="A7" s="7" t="n">
        <v>604</v>
      </c>
      <c r="B7" s="8" t="n">
        <f aca="false">550000+A7</f>
        <v>550604</v>
      </c>
      <c r="C7" s="9" t="s">
        <v>36</v>
      </c>
      <c r="D7" s="11" t="s">
        <v>37</v>
      </c>
      <c r="E7" s="10" t="n">
        <v>17.9</v>
      </c>
      <c r="F7" s="7" t="s">
        <v>38</v>
      </c>
      <c r="G7" s="9" t="s">
        <v>39</v>
      </c>
    </row>
    <row r="8" customFormat="false" ht="15" hidden="false" customHeight="false" outlineLevel="0" collapsed="false">
      <c r="A8" s="7" t="n">
        <v>506</v>
      </c>
      <c r="B8" s="8" t="n">
        <f aca="false">550000+A8</f>
        <v>550506</v>
      </c>
      <c r="C8" s="9" t="s">
        <v>40</v>
      </c>
      <c r="D8" s="9" t="s">
        <v>41</v>
      </c>
      <c r="E8" s="10" t="n">
        <v>32</v>
      </c>
      <c r="F8" s="7" t="s">
        <v>31</v>
      </c>
      <c r="G8" s="9"/>
    </row>
    <row r="9" customFormat="false" ht="15" hidden="false" customHeight="false" outlineLevel="0" collapsed="false">
      <c r="A9" s="7" t="n">
        <v>601</v>
      </c>
      <c r="B9" s="8" t="n">
        <f aca="false">550000+A9</f>
        <v>550601</v>
      </c>
      <c r="C9" s="9" t="s">
        <v>42</v>
      </c>
      <c r="D9" s="9" t="s">
        <v>43</v>
      </c>
      <c r="E9" s="10" t="n">
        <v>27.8</v>
      </c>
      <c r="F9" s="7" t="s">
        <v>31</v>
      </c>
      <c r="G9" s="9"/>
    </row>
    <row r="10" customFormat="false" ht="15" hidden="false" customHeight="false" outlineLevel="0" collapsed="false">
      <c r="A10" s="7" t="n">
        <v>603</v>
      </c>
      <c r="B10" s="8" t="n">
        <f aca="false">550000+A10</f>
        <v>550603</v>
      </c>
      <c r="C10" s="9" t="s">
        <v>44</v>
      </c>
      <c r="D10" s="9" t="s">
        <v>45</v>
      </c>
      <c r="E10" s="10" t="n">
        <v>21</v>
      </c>
      <c r="F10" s="7" t="s">
        <v>31</v>
      </c>
      <c r="G10" s="9"/>
    </row>
    <row r="11" customFormat="false" ht="15" hidden="false" customHeight="false" outlineLevel="0" collapsed="false">
      <c r="A11" s="7" t="n">
        <v>605</v>
      </c>
      <c r="B11" s="8" t="n">
        <f aca="false">550000+A11</f>
        <v>550605</v>
      </c>
      <c r="C11" s="9" t="s">
        <v>46</v>
      </c>
      <c r="D11" s="11" t="s">
        <v>47</v>
      </c>
      <c r="E11" s="10" t="n">
        <v>31.2</v>
      </c>
      <c r="F11" s="7" t="s">
        <v>31</v>
      </c>
      <c r="G11" s="9"/>
    </row>
    <row r="12" customFormat="false" ht="15" hidden="false" customHeight="false" outlineLevel="0" collapsed="false">
      <c r="A12" s="7" t="n">
        <v>574</v>
      </c>
      <c r="B12" s="8" t="n">
        <f aca="false">550000+A12</f>
        <v>550574</v>
      </c>
      <c r="C12" s="9" t="s">
        <v>48</v>
      </c>
      <c r="D12" s="11" t="s">
        <v>49</v>
      </c>
      <c r="E12" s="10" t="n">
        <v>42.2</v>
      </c>
      <c r="F12" s="7" t="s">
        <v>31</v>
      </c>
      <c r="G12" s="9"/>
    </row>
  </sheetData>
  <autoFilter ref="A2:G12"/>
  <conditionalFormatting sqref="F3:F12">
    <cfRule type="cellIs" priority="2" operator="equal" aboveAverage="0" equalAverage="0" bottom="0" percent="0" rank="0" text="" dxfId="4">
      <formula>"Yes"</formula>
    </cfRule>
  </conditionalFormatting>
  <dataValidations count="1">
    <dataValidation allowBlank="true" errorStyle="stop" operator="between" showDropDown="false" showErrorMessage="false" showInputMessage="false" sqref="F3:F12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5"/>
    <col collapsed="false" customWidth="true" hidden="false" outlineLevel="0" max="3" min="3" style="0" width="48"/>
    <col collapsed="false" customWidth="true" hidden="false" outlineLevel="0" max="4" min="4" style="0" width="52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60"/>
  </cols>
  <sheetData>
    <row r="1" customFormat="false" ht="15" hidden="false" customHeight="false" outlineLevel="0" collapsed="false">
      <c r="A1" s="5" t="s">
        <v>50</v>
      </c>
    </row>
    <row r="2" customFormat="false" ht="15" hidden="false" customHeight="false" outlineLevel="0" collapsed="false">
      <c r="A2" s="6" t="s">
        <v>23</v>
      </c>
      <c r="B2" s="6" t="s">
        <v>24</v>
      </c>
      <c r="C2" s="6" t="s">
        <v>25</v>
      </c>
      <c r="D2" s="6" t="s">
        <v>26</v>
      </c>
      <c r="E2" s="6" t="s">
        <v>27</v>
      </c>
      <c r="F2" s="6" t="s">
        <v>3</v>
      </c>
      <c r="G2" s="6" t="s">
        <v>28</v>
      </c>
    </row>
    <row r="3" customFormat="false" ht="15" hidden="false" customHeight="false" outlineLevel="0" collapsed="false">
      <c r="A3" s="7" t="n">
        <v>507</v>
      </c>
      <c r="B3" s="8" t="n">
        <f aca="false">550000+A3</f>
        <v>550507</v>
      </c>
      <c r="C3" s="9" t="s">
        <v>51</v>
      </c>
      <c r="D3" s="9" t="s">
        <v>52</v>
      </c>
      <c r="E3" s="10" t="n">
        <v>4.1</v>
      </c>
      <c r="F3" s="7" t="s">
        <v>31</v>
      </c>
      <c r="G3" s="9"/>
    </row>
    <row r="4" customFormat="false" ht="15" hidden="false" customHeight="false" outlineLevel="0" collapsed="false">
      <c r="A4" s="7" t="n">
        <v>508</v>
      </c>
      <c r="B4" s="8" t="n">
        <f aca="false">550000+A4</f>
        <v>550508</v>
      </c>
      <c r="C4" s="9" t="s">
        <v>53</v>
      </c>
      <c r="D4" s="9" t="s">
        <v>54</v>
      </c>
      <c r="E4" s="10" t="n">
        <v>4.9</v>
      </c>
      <c r="F4" s="7" t="s">
        <v>31</v>
      </c>
      <c r="G4" s="9"/>
    </row>
    <row r="5" customFormat="false" ht="15" hidden="false" customHeight="false" outlineLevel="0" collapsed="false">
      <c r="A5" s="7" t="n">
        <v>509</v>
      </c>
      <c r="B5" s="8" t="n">
        <f aca="false">550000+A5</f>
        <v>550509</v>
      </c>
      <c r="C5" s="9" t="s">
        <v>55</v>
      </c>
      <c r="D5" s="9" t="s">
        <v>56</v>
      </c>
      <c r="E5" s="10" t="n">
        <v>5</v>
      </c>
      <c r="F5" s="7" t="s">
        <v>31</v>
      </c>
      <c r="G5" s="9"/>
    </row>
    <row r="6" customFormat="false" ht="15" hidden="false" customHeight="false" outlineLevel="0" collapsed="false">
      <c r="A6" s="7" t="n">
        <v>553</v>
      </c>
      <c r="B6" s="8" t="n">
        <f aca="false">550000+A6</f>
        <v>550553</v>
      </c>
      <c r="C6" s="9" t="s">
        <v>57</v>
      </c>
      <c r="D6" s="11" t="s">
        <v>58</v>
      </c>
      <c r="E6" s="10" t="n">
        <v>6</v>
      </c>
      <c r="F6" s="7" t="s">
        <v>31</v>
      </c>
      <c r="G6" s="9"/>
    </row>
    <row r="7" customFormat="false" ht="15" hidden="false" customHeight="false" outlineLevel="0" collapsed="false">
      <c r="A7" s="7" t="n">
        <v>554</v>
      </c>
      <c r="B7" s="8" t="n">
        <f aca="false">550000+A7</f>
        <v>550554</v>
      </c>
      <c r="C7" s="9" t="s">
        <v>59</v>
      </c>
      <c r="D7" s="11" t="s">
        <v>60</v>
      </c>
      <c r="E7" s="10" t="n">
        <v>4.2</v>
      </c>
      <c r="F7" s="7" t="s">
        <v>31</v>
      </c>
      <c r="G7" s="9"/>
    </row>
    <row r="8" customFormat="false" ht="15" hidden="false" customHeight="false" outlineLevel="0" collapsed="false">
      <c r="A8" s="7" t="n">
        <v>568</v>
      </c>
      <c r="B8" s="8" t="n">
        <f aca="false">550000+A8</f>
        <v>550568</v>
      </c>
      <c r="C8" s="9" t="s">
        <v>61</v>
      </c>
      <c r="D8" s="11" t="s">
        <v>62</v>
      </c>
      <c r="E8" s="10" t="n">
        <v>5.1</v>
      </c>
      <c r="F8" s="7" t="s">
        <v>31</v>
      </c>
      <c r="G8" s="9"/>
    </row>
    <row r="9" customFormat="false" ht="15" hidden="false" customHeight="false" outlineLevel="0" collapsed="false">
      <c r="A9" s="7" t="n">
        <v>572</v>
      </c>
      <c r="B9" s="8" t="n">
        <f aca="false">550000+A9</f>
        <v>550572</v>
      </c>
      <c r="C9" s="9" t="s">
        <v>63</v>
      </c>
      <c r="D9" s="11" t="s">
        <v>64</v>
      </c>
      <c r="E9" s="10" t="n">
        <v>5</v>
      </c>
      <c r="F9" s="7" t="s">
        <v>31</v>
      </c>
      <c r="G9" s="9"/>
    </row>
    <row r="10" customFormat="false" ht="15" hidden="false" customHeight="false" outlineLevel="0" collapsed="false">
      <c r="A10" s="7" t="n">
        <v>565</v>
      </c>
      <c r="B10" s="8" t="n">
        <f aca="false">550000+A10</f>
        <v>550565</v>
      </c>
      <c r="C10" s="9" t="s">
        <v>65</v>
      </c>
      <c r="D10" s="9" t="s">
        <v>66</v>
      </c>
      <c r="E10" s="10" t="n">
        <v>5.8</v>
      </c>
      <c r="F10" s="7" t="s">
        <v>31</v>
      </c>
      <c r="G10" s="9"/>
    </row>
    <row r="11" customFormat="false" ht="15" hidden="false" customHeight="false" outlineLevel="0" collapsed="false">
      <c r="A11" s="7" t="n">
        <v>566</v>
      </c>
      <c r="B11" s="8" t="n">
        <f aca="false">550000+A11</f>
        <v>550566</v>
      </c>
      <c r="C11" s="9" t="s">
        <v>67</v>
      </c>
      <c r="D11" s="9" t="s">
        <v>68</v>
      </c>
      <c r="E11" s="10" t="n">
        <v>3.9</v>
      </c>
      <c r="F11" s="7" t="s">
        <v>31</v>
      </c>
      <c r="G11" s="9"/>
    </row>
    <row r="12" customFormat="false" ht="15" hidden="false" customHeight="false" outlineLevel="0" collapsed="false">
      <c r="A12" s="7" t="n">
        <v>516</v>
      </c>
      <c r="B12" s="8" t="n">
        <f aca="false">550000+A12</f>
        <v>550516</v>
      </c>
      <c r="C12" s="9" t="s">
        <v>69</v>
      </c>
      <c r="D12" s="9" t="s">
        <v>70</v>
      </c>
      <c r="E12" s="10" t="n">
        <v>4.9</v>
      </c>
      <c r="F12" s="7" t="s">
        <v>31</v>
      </c>
      <c r="G12" s="9"/>
    </row>
    <row r="13" customFormat="false" ht="15" hidden="false" customHeight="false" outlineLevel="0" collapsed="false">
      <c r="A13" s="7" t="n">
        <v>543</v>
      </c>
      <c r="B13" s="8" t="n">
        <f aca="false">550000+A13</f>
        <v>550543</v>
      </c>
      <c r="C13" s="9" t="s">
        <v>71</v>
      </c>
      <c r="D13" s="11" t="s">
        <v>72</v>
      </c>
      <c r="E13" s="10" t="n">
        <v>4.1</v>
      </c>
      <c r="F13" s="7" t="s">
        <v>38</v>
      </c>
      <c r="G13" s="9" t="s">
        <v>73</v>
      </c>
    </row>
    <row r="14" customFormat="false" ht="15" hidden="false" customHeight="false" outlineLevel="0" collapsed="false">
      <c r="A14" s="7" t="n">
        <v>552</v>
      </c>
      <c r="B14" s="8" t="n">
        <f aca="false">550000+A14</f>
        <v>550552</v>
      </c>
      <c r="C14" s="9" t="s">
        <v>74</v>
      </c>
      <c r="D14" s="9" t="s">
        <v>75</v>
      </c>
      <c r="E14" s="10" t="n">
        <v>1.9</v>
      </c>
      <c r="F14" s="7" t="s">
        <v>31</v>
      </c>
      <c r="G14" s="9"/>
    </row>
    <row r="15" customFormat="false" ht="15" hidden="false" customHeight="false" outlineLevel="0" collapsed="false">
      <c r="A15" s="7" t="n">
        <v>525</v>
      </c>
      <c r="B15" s="8" t="n">
        <f aca="false">550000+A15</f>
        <v>550525</v>
      </c>
      <c r="C15" s="9" t="s">
        <v>76</v>
      </c>
      <c r="D15" s="9" t="s">
        <v>77</v>
      </c>
      <c r="E15" s="10" t="n">
        <v>5.9</v>
      </c>
      <c r="F15" s="7" t="s">
        <v>31</v>
      </c>
      <c r="G15" s="9"/>
    </row>
    <row r="16" customFormat="false" ht="15" hidden="false" customHeight="false" outlineLevel="0" collapsed="false">
      <c r="A16" s="7" t="n">
        <v>570</v>
      </c>
      <c r="B16" s="8" t="n">
        <f aca="false">550000+A16</f>
        <v>550570</v>
      </c>
      <c r="C16" s="9" t="s">
        <v>78</v>
      </c>
      <c r="D16" s="11" t="s">
        <v>79</v>
      </c>
      <c r="E16" s="10" t="n">
        <v>7.9</v>
      </c>
      <c r="F16" s="7" t="s">
        <v>31</v>
      </c>
      <c r="G16" s="9"/>
    </row>
  </sheetData>
  <autoFilter ref="A2:G16"/>
  <conditionalFormatting sqref="F3:F16">
    <cfRule type="cellIs" priority="2" operator="equal" aboveAverage="0" equalAverage="0" bottom="0" percent="0" rank="0" text="" dxfId="4">
      <formula>"Yes"</formula>
    </cfRule>
  </conditionalFormatting>
  <dataValidations count="1">
    <dataValidation allowBlank="true" errorStyle="stop" operator="between" showDropDown="false" showErrorMessage="false" showInputMessage="false" sqref="F3:F16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5"/>
    <col collapsed="false" customWidth="true" hidden="false" outlineLevel="0" max="3" min="3" style="0" width="48"/>
    <col collapsed="false" customWidth="true" hidden="false" outlineLevel="0" max="4" min="4" style="0" width="52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60"/>
  </cols>
  <sheetData>
    <row r="1" customFormat="false" ht="15" hidden="false" customHeight="false" outlineLevel="0" collapsed="false">
      <c r="A1" s="5" t="s">
        <v>80</v>
      </c>
    </row>
    <row r="2" customFormat="false" ht="15" hidden="false" customHeight="false" outlineLevel="0" collapsed="false">
      <c r="A2" s="6" t="s">
        <v>23</v>
      </c>
      <c r="B2" s="6" t="s">
        <v>24</v>
      </c>
      <c r="C2" s="6" t="s">
        <v>25</v>
      </c>
      <c r="D2" s="6" t="s">
        <v>26</v>
      </c>
      <c r="E2" s="6" t="s">
        <v>27</v>
      </c>
      <c r="F2" s="6" t="s">
        <v>3</v>
      </c>
      <c r="G2" s="6" t="s">
        <v>28</v>
      </c>
    </row>
    <row r="3" customFormat="false" ht="15" hidden="false" customHeight="false" outlineLevel="0" collapsed="false">
      <c r="A3" s="7" t="n">
        <v>514</v>
      </c>
      <c r="B3" s="8" t="n">
        <f aca="false">550000+A3</f>
        <v>550514</v>
      </c>
      <c r="C3" s="9" t="s">
        <v>81</v>
      </c>
      <c r="D3" s="9" t="s">
        <v>82</v>
      </c>
      <c r="E3" s="10" t="n">
        <v>5.4</v>
      </c>
      <c r="F3" s="7" t="s">
        <v>31</v>
      </c>
      <c r="G3" s="9"/>
    </row>
    <row r="4" customFormat="false" ht="15" hidden="false" customHeight="false" outlineLevel="0" collapsed="false">
      <c r="A4" s="7" t="n">
        <v>515</v>
      </c>
      <c r="B4" s="8" t="n">
        <f aca="false">550000+A4</f>
        <v>550515</v>
      </c>
      <c r="C4" s="9" t="s">
        <v>83</v>
      </c>
      <c r="D4" s="9" t="s">
        <v>84</v>
      </c>
      <c r="E4" s="10" t="n">
        <v>4.7</v>
      </c>
      <c r="F4" s="7" t="s">
        <v>31</v>
      </c>
      <c r="G4" s="9"/>
    </row>
    <row r="5" customFormat="false" ht="15" hidden="false" customHeight="false" outlineLevel="0" collapsed="false">
      <c r="A5" s="7" t="n">
        <v>558</v>
      </c>
      <c r="B5" s="8" t="n">
        <f aca="false">550000+A5</f>
        <v>550558</v>
      </c>
      <c r="C5" s="9" t="s">
        <v>85</v>
      </c>
      <c r="D5" s="11" t="s">
        <v>86</v>
      </c>
      <c r="E5" s="10" t="n">
        <v>5.5</v>
      </c>
      <c r="F5" s="7" t="s">
        <v>31</v>
      </c>
      <c r="G5" s="9"/>
    </row>
    <row r="6" customFormat="false" ht="15" hidden="false" customHeight="false" outlineLevel="0" collapsed="false">
      <c r="A6" s="7" t="n">
        <v>559</v>
      </c>
      <c r="B6" s="8" t="n">
        <f aca="false">550000+A6</f>
        <v>550559</v>
      </c>
      <c r="C6" s="9" t="s">
        <v>87</v>
      </c>
      <c r="D6" s="11" t="s">
        <v>88</v>
      </c>
      <c r="E6" s="10" t="n">
        <v>5</v>
      </c>
      <c r="F6" s="7" t="s">
        <v>31</v>
      </c>
      <c r="G6" s="9"/>
    </row>
    <row r="7" customFormat="false" ht="15" hidden="false" customHeight="false" outlineLevel="0" collapsed="false">
      <c r="A7" s="7" t="n">
        <v>569</v>
      </c>
      <c r="B7" s="8" t="n">
        <f aca="false">550000+A7</f>
        <v>550569</v>
      </c>
      <c r="C7" s="9" t="s">
        <v>89</v>
      </c>
      <c r="D7" s="11" t="s">
        <v>90</v>
      </c>
      <c r="E7" s="10" t="n">
        <v>5.1</v>
      </c>
      <c r="F7" s="7" t="s">
        <v>31</v>
      </c>
      <c r="G7" s="9"/>
    </row>
    <row r="8" customFormat="false" ht="15" hidden="false" customHeight="false" outlineLevel="0" collapsed="false">
      <c r="A8" s="7" t="n">
        <v>573</v>
      </c>
      <c r="B8" s="8" t="n">
        <f aca="false">550000+A8</f>
        <v>550573</v>
      </c>
      <c r="C8" s="9" t="s">
        <v>91</v>
      </c>
      <c r="D8" s="11" t="s">
        <v>92</v>
      </c>
      <c r="E8" s="10" t="n">
        <v>4.2</v>
      </c>
      <c r="F8" s="7" t="s">
        <v>31</v>
      </c>
      <c r="G8" s="9"/>
    </row>
    <row r="9" customFormat="false" ht="15" hidden="false" customHeight="false" outlineLevel="0" collapsed="false">
      <c r="A9" s="7" t="n">
        <v>537</v>
      </c>
      <c r="B9" s="8" t="n">
        <f aca="false">550000+A9</f>
        <v>550537</v>
      </c>
      <c r="C9" s="9" t="s">
        <v>93</v>
      </c>
      <c r="D9" s="9" t="s">
        <v>94</v>
      </c>
      <c r="E9" s="10" t="n">
        <v>2.5</v>
      </c>
      <c r="F9" s="7" t="s">
        <v>31</v>
      </c>
      <c r="G9" s="9"/>
    </row>
    <row r="10" customFormat="false" ht="15" hidden="false" customHeight="false" outlineLevel="0" collapsed="false">
      <c r="A10" s="7" t="n">
        <v>539</v>
      </c>
      <c r="B10" s="8" t="n">
        <f aca="false">550000+A10</f>
        <v>550539</v>
      </c>
      <c r="C10" s="9" t="s">
        <v>95</v>
      </c>
      <c r="D10" s="9" t="s">
        <v>96</v>
      </c>
      <c r="E10" s="10" t="n">
        <v>3.1</v>
      </c>
      <c r="F10" s="7" t="s">
        <v>31</v>
      </c>
      <c r="G10" s="9"/>
    </row>
    <row r="11" customFormat="false" ht="15" hidden="false" customHeight="false" outlineLevel="0" collapsed="false">
      <c r="A11" s="7" t="n">
        <v>517</v>
      </c>
      <c r="B11" s="8" t="n">
        <f aca="false">550000+A11</f>
        <v>550517</v>
      </c>
      <c r="C11" s="9" t="s">
        <v>97</v>
      </c>
      <c r="D11" s="9" t="s">
        <v>98</v>
      </c>
      <c r="E11" s="10" t="n">
        <v>10.6</v>
      </c>
      <c r="F11" s="7" t="s">
        <v>31</v>
      </c>
      <c r="G11" s="9"/>
    </row>
    <row r="12" customFormat="false" ht="15" hidden="false" customHeight="false" outlineLevel="0" collapsed="false">
      <c r="A12" s="7" t="n">
        <v>564</v>
      </c>
      <c r="B12" s="8" t="n">
        <f aca="false">550000+A12</f>
        <v>550564</v>
      </c>
      <c r="C12" s="9" t="s">
        <v>99</v>
      </c>
      <c r="D12" s="9" t="s">
        <v>100</v>
      </c>
      <c r="E12" s="10" t="n">
        <v>4.4</v>
      </c>
      <c r="F12" s="7" t="s">
        <v>31</v>
      </c>
      <c r="G12" s="9"/>
    </row>
  </sheetData>
  <autoFilter ref="A2:G12"/>
  <conditionalFormatting sqref="F3:F12">
    <cfRule type="cellIs" priority="2" operator="equal" aboveAverage="0" equalAverage="0" bottom="0" percent="0" rank="0" text="" dxfId="4">
      <formula>"Yes"</formula>
    </cfRule>
  </conditionalFormatting>
  <dataValidations count="1">
    <dataValidation allowBlank="true" errorStyle="stop" operator="between" showDropDown="false" showErrorMessage="false" showInputMessage="false" sqref="F3:F12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5"/>
    <col collapsed="false" customWidth="true" hidden="false" outlineLevel="0" max="3" min="3" style="0" width="48"/>
    <col collapsed="false" customWidth="true" hidden="false" outlineLevel="0" max="4" min="4" style="0" width="52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60"/>
  </cols>
  <sheetData>
    <row r="1" customFormat="false" ht="15" hidden="false" customHeight="false" outlineLevel="0" collapsed="false">
      <c r="A1" s="5" t="s">
        <v>101</v>
      </c>
    </row>
    <row r="2" customFormat="false" ht="15" hidden="false" customHeight="false" outlineLevel="0" collapsed="false">
      <c r="A2" s="6" t="s">
        <v>23</v>
      </c>
      <c r="B2" s="6" t="s">
        <v>24</v>
      </c>
      <c r="C2" s="6" t="s">
        <v>25</v>
      </c>
      <c r="D2" s="6" t="s">
        <v>26</v>
      </c>
      <c r="E2" s="6" t="s">
        <v>27</v>
      </c>
      <c r="F2" s="6" t="s">
        <v>3</v>
      </c>
      <c r="G2" s="6" t="s">
        <v>28</v>
      </c>
    </row>
    <row r="3" customFormat="false" ht="15" hidden="false" customHeight="false" outlineLevel="0" collapsed="false">
      <c r="A3" s="7" t="n">
        <v>511</v>
      </c>
      <c r="B3" s="8" t="n">
        <f aca="false">550000+A3</f>
        <v>550511</v>
      </c>
      <c r="C3" s="9" t="s">
        <v>102</v>
      </c>
      <c r="D3" s="9" t="s">
        <v>103</v>
      </c>
      <c r="E3" s="10" t="n">
        <v>4.2</v>
      </c>
      <c r="F3" s="7" t="s">
        <v>31</v>
      </c>
      <c r="G3" s="9"/>
    </row>
    <row r="4" customFormat="false" ht="15" hidden="false" customHeight="false" outlineLevel="0" collapsed="false">
      <c r="A4" s="7" t="n">
        <v>512</v>
      </c>
      <c r="B4" s="8" t="n">
        <f aca="false">550000+A4</f>
        <v>550512</v>
      </c>
      <c r="C4" s="9" t="s">
        <v>104</v>
      </c>
      <c r="D4" s="9" t="s">
        <v>105</v>
      </c>
      <c r="E4" s="10" t="n">
        <v>3.7</v>
      </c>
      <c r="F4" s="7" t="s">
        <v>31</v>
      </c>
      <c r="G4" s="9"/>
    </row>
    <row r="5" customFormat="false" ht="15" hidden="false" customHeight="false" outlineLevel="0" collapsed="false">
      <c r="A5" s="7" t="n">
        <v>513</v>
      </c>
      <c r="B5" s="8" t="n">
        <f aca="false">550000+A5</f>
        <v>550513</v>
      </c>
      <c r="C5" s="9" t="s">
        <v>106</v>
      </c>
      <c r="D5" s="9" t="s">
        <v>107</v>
      </c>
      <c r="E5" s="10" t="n">
        <v>5</v>
      </c>
      <c r="F5" s="7" t="s">
        <v>31</v>
      </c>
      <c r="G5" s="9"/>
    </row>
    <row r="6" customFormat="false" ht="15" hidden="false" customHeight="false" outlineLevel="0" collapsed="false">
      <c r="A6" s="7" t="n">
        <v>536</v>
      </c>
      <c r="B6" s="8" t="n">
        <f aca="false">550000+A6</f>
        <v>550536</v>
      </c>
      <c r="C6" s="9" t="s">
        <v>108</v>
      </c>
      <c r="D6" s="9" t="s">
        <v>109</v>
      </c>
      <c r="E6" s="10" t="n">
        <v>2.7</v>
      </c>
      <c r="F6" s="7" t="s">
        <v>31</v>
      </c>
      <c r="G6" s="9"/>
    </row>
    <row r="7" customFormat="false" ht="15" hidden="false" customHeight="false" outlineLevel="0" collapsed="false">
      <c r="A7" s="7" t="n">
        <v>510</v>
      </c>
      <c r="B7" s="8" t="n">
        <f aca="false">550000+A7</f>
        <v>550510</v>
      </c>
      <c r="C7" s="9" t="s">
        <v>110</v>
      </c>
      <c r="D7" s="9" t="s">
        <v>111</v>
      </c>
      <c r="E7" s="10" t="n">
        <v>3.5</v>
      </c>
      <c r="F7" s="7" t="s">
        <v>31</v>
      </c>
      <c r="G7" s="9"/>
    </row>
    <row r="8" customFormat="false" ht="15" hidden="false" customHeight="false" outlineLevel="0" collapsed="false">
      <c r="A8" s="7" t="n">
        <v>560</v>
      </c>
      <c r="B8" s="8" t="n">
        <f aca="false">550000+A8</f>
        <v>550560</v>
      </c>
      <c r="C8" s="9" t="s">
        <v>112</v>
      </c>
      <c r="D8" s="11" t="s">
        <v>113</v>
      </c>
      <c r="E8" s="10" t="n">
        <v>4.3</v>
      </c>
      <c r="F8" s="7" t="s">
        <v>31</v>
      </c>
      <c r="G8" s="9"/>
    </row>
    <row r="9" customFormat="false" ht="15" hidden="false" customHeight="false" outlineLevel="0" collapsed="false">
      <c r="A9" s="7" t="n">
        <v>522</v>
      </c>
      <c r="B9" s="8" t="n">
        <f aca="false">550000+A9</f>
        <v>550522</v>
      </c>
      <c r="C9" s="9" t="s">
        <v>114</v>
      </c>
      <c r="D9" s="9" t="s">
        <v>115</v>
      </c>
      <c r="E9" s="10" t="n">
        <v>8.2</v>
      </c>
      <c r="F9" s="7" t="s">
        <v>31</v>
      </c>
      <c r="G9" s="9"/>
    </row>
    <row r="10" customFormat="false" ht="15" hidden="false" customHeight="false" outlineLevel="0" collapsed="false">
      <c r="A10" s="7" t="n">
        <v>547</v>
      </c>
      <c r="B10" s="8" t="n">
        <f aca="false">550000+A10</f>
        <v>550547</v>
      </c>
      <c r="C10" s="9" t="s">
        <v>116</v>
      </c>
      <c r="D10" s="9" t="s">
        <v>117</v>
      </c>
      <c r="E10" s="10" t="n">
        <v>2.3</v>
      </c>
      <c r="F10" s="7" t="s">
        <v>31</v>
      </c>
      <c r="G10" s="9"/>
    </row>
    <row r="11" customFormat="false" ht="15" hidden="false" customHeight="false" outlineLevel="0" collapsed="false">
      <c r="A11" s="7" t="n">
        <v>540</v>
      </c>
      <c r="B11" s="8" t="n">
        <f aca="false">550000+A11</f>
        <v>550540</v>
      </c>
      <c r="C11" s="9" t="s">
        <v>118</v>
      </c>
      <c r="D11" s="11" t="s">
        <v>119</v>
      </c>
      <c r="E11" s="10" t="n">
        <v>4.8</v>
      </c>
      <c r="F11" s="7" t="s">
        <v>31</v>
      </c>
      <c r="G11" s="9"/>
    </row>
    <row r="12" customFormat="false" ht="15" hidden="false" customHeight="false" outlineLevel="0" collapsed="false">
      <c r="A12" s="7" t="n">
        <v>548</v>
      </c>
      <c r="B12" s="8" t="n">
        <f aca="false">550000+A12</f>
        <v>550548</v>
      </c>
      <c r="C12" s="9" t="s">
        <v>120</v>
      </c>
      <c r="D12" s="9" t="s">
        <v>121</v>
      </c>
      <c r="E12" s="10" t="n">
        <v>3.2</v>
      </c>
      <c r="F12" s="7" t="s">
        <v>31</v>
      </c>
      <c r="G12" s="9"/>
    </row>
    <row r="13" customFormat="false" ht="15" hidden="false" customHeight="false" outlineLevel="0" collapsed="false">
      <c r="A13" s="7" t="n">
        <v>549</v>
      </c>
      <c r="B13" s="8" t="n">
        <f aca="false">550000+A13</f>
        <v>550549</v>
      </c>
      <c r="C13" s="9" t="s">
        <v>122</v>
      </c>
      <c r="D13" s="9" t="s">
        <v>123</v>
      </c>
      <c r="E13" s="10" t="n">
        <v>2.8</v>
      </c>
      <c r="F13" s="7" t="s">
        <v>31</v>
      </c>
      <c r="G13" s="9"/>
    </row>
    <row r="14" customFormat="false" ht="15" hidden="false" customHeight="false" outlineLevel="0" collapsed="false">
      <c r="A14" s="7" t="n">
        <v>567</v>
      </c>
      <c r="B14" s="8" t="n">
        <f aca="false">550000+A14</f>
        <v>550567</v>
      </c>
      <c r="C14" s="9" t="s">
        <v>124</v>
      </c>
      <c r="D14" s="11" t="s">
        <v>125</v>
      </c>
      <c r="E14" s="10" t="n">
        <v>5.9</v>
      </c>
      <c r="F14" s="7" t="s">
        <v>31</v>
      </c>
      <c r="G14" s="9"/>
    </row>
    <row r="15" customFormat="false" ht="15" hidden="false" customHeight="false" outlineLevel="0" collapsed="false">
      <c r="A15" s="7" t="n">
        <v>571</v>
      </c>
      <c r="B15" s="8" t="n">
        <f aca="false">550000+A15</f>
        <v>550571</v>
      </c>
      <c r="C15" s="9" t="s">
        <v>126</v>
      </c>
      <c r="D15" s="11" t="s">
        <v>127</v>
      </c>
      <c r="E15" s="10" t="n">
        <v>6.5</v>
      </c>
      <c r="F15" s="7" t="s">
        <v>31</v>
      </c>
      <c r="G15" s="9"/>
    </row>
  </sheetData>
  <autoFilter ref="A2:G15"/>
  <conditionalFormatting sqref="F3:F15">
    <cfRule type="cellIs" priority="2" operator="equal" aboveAverage="0" equalAverage="0" bottom="0" percent="0" rank="0" text="" dxfId="4">
      <formula>"Yes"</formula>
    </cfRule>
  </conditionalFormatting>
  <dataValidations count="1">
    <dataValidation allowBlank="true" errorStyle="stop" operator="between" showDropDown="false" showErrorMessage="false" showInputMessage="false" sqref="F3:F15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5"/>
    <col collapsed="false" customWidth="true" hidden="false" outlineLevel="0" max="3" min="3" style="0" width="48"/>
    <col collapsed="false" customWidth="true" hidden="false" outlineLevel="0" max="4" min="4" style="0" width="52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60"/>
  </cols>
  <sheetData>
    <row r="1" customFormat="false" ht="15" hidden="false" customHeight="false" outlineLevel="0" collapsed="false">
      <c r="A1" s="5" t="s">
        <v>128</v>
      </c>
    </row>
    <row r="2" customFormat="false" ht="15" hidden="false" customHeight="false" outlineLevel="0" collapsed="false">
      <c r="A2" s="6" t="s">
        <v>23</v>
      </c>
      <c r="B2" s="6" t="s">
        <v>24</v>
      </c>
      <c r="C2" s="6" t="s">
        <v>25</v>
      </c>
      <c r="D2" s="6" t="s">
        <v>26</v>
      </c>
      <c r="E2" s="6" t="s">
        <v>27</v>
      </c>
      <c r="F2" s="6" t="s">
        <v>3</v>
      </c>
      <c r="G2" s="6" t="s">
        <v>28</v>
      </c>
    </row>
    <row r="3" customFormat="false" ht="15" hidden="false" customHeight="false" outlineLevel="0" collapsed="false">
      <c r="A3" s="7" t="n">
        <v>523</v>
      </c>
      <c r="B3" s="8" t="n">
        <f aca="false">550000+A3</f>
        <v>550523</v>
      </c>
      <c r="C3" s="9" t="s">
        <v>129</v>
      </c>
      <c r="D3" s="9" t="s">
        <v>130</v>
      </c>
      <c r="E3" s="10" t="n">
        <v>5.1</v>
      </c>
      <c r="F3" s="7" t="s">
        <v>31</v>
      </c>
      <c r="G3" s="9"/>
    </row>
    <row r="4" customFormat="false" ht="15" hidden="false" customHeight="false" outlineLevel="0" collapsed="false">
      <c r="A4" s="7" t="n">
        <v>561</v>
      </c>
      <c r="B4" s="8" t="n">
        <f aca="false">550000+A4</f>
        <v>550561</v>
      </c>
      <c r="C4" s="9" t="s">
        <v>131</v>
      </c>
      <c r="D4" s="11" t="s">
        <v>132</v>
      </c>
      <c r="E4" s="10" t="n">
        <v>6.6</v>
      </c>
      <c r="F4" s="7" t="s">
        <v>31</v>
      </c>
      <c r="G4" s="9"/>
    </row>
    <row r="5" customFormat="false" ht="15" hidden="false" customHeight="false" outlineLevel="0" collapsed="false">
      <c r="A5" s="7" t="n">
        <v>545</v>
      </c>
      <c r="B5" s="8" t="n">
        <f aca="false">550000+A5</f>
        <v>550545</v>
      </c>
      <c r="C5" s="9" t="s">
        <v>133</v>
      </c>
      <c r="D5" s="9" t="s">
        <v>134</v>
      </c>
      <c r="E5" s="10" t="n">
        <v>3.1</v>
      </c>
      <c r="F5" s="7" t="s">
        <v>31</v>
      </c>
      <c r="G5" s="9"/>
    </row>
    <row r="6" customFormat="false" ht="15" hidden="false" customHeight="false" outlineLevel="0" collapsed="false">
      <c r="A6" s="7" t="n">
        <v>524</v>
      </c>
      <c r="B6" s="8" t="n">
        <f aca="false">550000+A6</f>
        <v>550524</v>
      </c>
      <c r="C6" s="9" t="s">
        <v>135</v>
      </c>
      <c r="D6" s="9" t="s">
        <v>136</v>
      </c>
      <c r="E6" s="10" t="n">
        <v>5.7</v>
      </c>
      <c r="F6" s="7" t="s">
        <v>31</v>
      </c>
      <c r="G6" s="9"/>
    </row>
    <row r="7" customFormat="false" ht="15" hidden="false" customHeight="false" outlineLevel="0" collapsed="false">
      <c r="A7" s="7" t="n">
        <v>526</v>
      </c>
      <c r="B7" s="8" t="n">
        <f aca="false">550000+A7</f>
        <v>550526</v>
      </c>
      <c r="C7" s="9" t="s">
        <v>137</v>
      </c>
      <c r="D7" s="9" t="s">
        <v>138</v>
      </c>
      <c r="E7" s="10" t="n">
        <v>4.3</v>
      </c>
      <c r="F7" s="7" t="s">
        <v>31</v>
      </c>
      <c r="G7" s="9"/>
    </row>
    <row r="8" customFormat="false" ht="15" hidden="false" customHeight="false" outlineLevel="0" collapsed="false">
      <c r="A8" s="7" t="n">
        <v>527</v>
      </c>
      <c r="B8" s="8" t="n">
        <f aca="false">550000+A8</f>
        <v>550527</v>
      </c>
      <c r="C8" s="9" t="s">
        <v>139</v>
      </c>
      <c r="D8" s="9" t="s">
        <v>140</v>
      </c>
      <c r="E8" s="10" t="n">
        <v>4.3</v>
      </c>
      <c r="F8" s="7" t="s">
        <v>31</v>
      </c>
      <c r="G8" s="9"/>
    </row>
    <row r="9" customFormat="false" ht="15" hidden="false" customHeight="false" outlineLevel="0" collapsed="false">
      <c r="A9" s="7" t="n">
        <v>528</v>
      </c>
      <c r="B9" s="8" t="n">
        <f aca="false">550000+A9</f>
        <v>550528</v>
      </c>
      <c r="C9" s="9" t="s">
        <v>141</v>
      </c>
      <c r="D9" s="9" t="s">
        <v>142</v>
      </c>
      <c r="E9" s="10" t="n">
        <v>4.3</v>
      </c>
      <c r="F9" s="7" t="s">
        <v>31</v>
      </c>
      <c r="G9" s="9"/>
    </row>
    <row r="10" customFormat="false" ht="15" hidden="false" customHeight="false" outlineLevel="0" collapsed="false">
      <c r="A10" s="7" t="n">
        <v>538</v>
      </c>
      <c r="B10" s="8" t="n">
        <f aca="false">550000+A10</f>
        <v>550538</v>
      </c>
      <c r="C10" s="9" t="s">
        <v>143</v>
      </c>
      <c r="D10" s="11" t="s">
        <v>144</v>
      </c>
      <c r="E10" s="10" t="n">
        <v>5.8</v>
      </c>
      <c r="F10" s="7" t="s">
        <v>31</v>
      </c>
      <c r="G10" s="9"/>
    </row>
  </sheetData>
  <autoFilter ref="A2:G10"/>
  <conditionalFormatting sqref="F3:F10">
    <cfRule type="cellIs" priority="2" operator="equal" aboveAverage="0" equalAverage="0" bottom="0" percent="0" rank="0" text="" dxfId="4">
      <formula>"Yes"</formula>
    </cfRule>
  </conditionalFormatting>
  <dataValidations count="1">
    <dataValidation allowBlank="true" errorStyle="stop" operator="between" showDropDown="false" showErrorMessage="false" showInputMessage="false" sqref="F3:F10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5"/>
    <col collapsed="false" customWidth="true" hidden="false" outlineLevel="0" max="3" min="3" style="0" width="48"/>
    <col collapsed="false" customWidth="true" hidden="false" outlineLevel="0" max="4" min="4" style="0" width="52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60"/>
  </cols>
  <sheetData>
    <row r="1" customFormat="false" ht="15" hidden="false" customHeight="false" outlineLevel="0" collapsed="false">
      <c r="A1" s="5" t="s">
        <v>145</v>
      </c>
    </row>
    <row r="2" customFormat="false" ht="15" hidden="false" customHeight="false" outlineLevel="0" collapsed="false">
      <c r="A2" s="6" t="s">
        <v>23</v>
      </c>
      <c r="B2" s="6" t="s">
        <v>24</v>
      </c>
      <c r="C2" s="6" t="s">
        <v>25</v>
      </c>
      <c r="D2" s="6" t="s">
        <v>26</v>
      </c>
      <c r="E2" s="6" t="s">
        <v>27</v>
      </c>
      <c r="F2" s="6" t="s">
        <v>3</v>
      </c>
      <c r="G2" s="6" t="s">
        <v>28</v>
      </c>
    </row>
    <row r="3" customFormat="false" ht="15" hidden="false" customHeight="false" outlineLevel="0" collapsed="false">
      <c r="A3" s="7" t="n">
        <v>529</v>
      </c>
      <c r="B3" s="8" t="n">
        <f aca="false">550000+A3</f>
        <v>550529</v>
      </c>
      <c r="C3" s="9" t="s">
        <v>146</v>
      </c>
      <c r="D3" s="9" t="s">
        <v>147</v>
      </c>
      <c r="E3" s="10" t="n">
        <v>2.6</v>
      </c>
      <c r="F3" s="7" t="s">
        <v>31</v>
      </c>
      <c r="G3" s="9"/>
    </row>
    <row r="4" customFormat="false" ht="15" hidden="false" customHeight="false" outlineLevel="0" collapsed="false">
      <c r="A4" s="7" t="n">
        <v>530</v>
      </c>
      <c r="B4" s="8" t="n">
        <f aca="false">550000+A4</f>
        <v>550530</v>
      </c>
      <c r="C4" s="9" t="s">
        <v>148</v>
      </c>
      <c r="D4" s="9" t="s">
        <v>149</v>
      </c>
      <c r="E4" s="10" t="n">
        <v>2.8</v>
      </c>
      <c r="F4" s="7" t="s">
        <v>31</v>
      </c>
      <c r="G4" s="9"/>
    </row>
    <row r="5" customFormat="false" ht="15" hidden="false" customHeight="false" outlineLevel="0" collapsed="false">
      <c r="A5" s="7" t="n">
        <v>550</v>
      </c>
      <c r="B5" s="8" t="n">
        <f aca="false">550000+A5</f>
        <v>550550</v>
      </c>
      <c r="C5" s="9" t="s">
        <v>150</v>
      </c>
      <c r="D5" s="9" t="s">
        <v>151</v>
      </c>
      <c r="E5" s="10" t="n">
        <v>2.6</v>
      </c>
      <c r="F5" s="7" t="s">
        <v>31</v>
      </c>
      <c r="G5" s="9"/>
    </row>
    <row r="6" customFormat="false" ht="15" hidden="false" customHeight="false" outlineLevel="0" collapsed="false">
      <c r="A6" s="7" t="n">
        <v>531</v>
      </c>
      <c r="B6" s="8" t="n">
        <f aca="false">550000+A6</f>
        <v>550531</v>
      </c>
      <c r="C6" s="9" t="s">
        <v>152</v>
      </c>
      <c r="D6" s="9" t="s">
        <v>153</v>
      </c>
      <c r="E6" s="10" t="n">
        <v>3.9</v>
      </c>
      <c r="F6" s="7" t="s">
        <v>31</v>
      </c>
      <c r="G6" s="9"/>
    </row>
    <row r="7" customFormat="false" ht="15" hidden="false" customHeight="false" outlineLevel="0" collapsed="false">
      <c r="A7" s="7" t="n">
        <v>532</v>
      </c>
      <c r="B7" s="8" t="n">
        <f aca="false">550000+A7</f>
        <v>550532</v>
      </c>
      <c r="C7" s="9" t="s">
        <v>154</v>
      </c>
      <c r="D7" s="9" t="s">
        <v>155</v>
      </c>
      <c r="E7" s="10" t="n">
        <v>2.6</v>
      </c>
      <c r="F7" s="7" t="s">
        <v>31</v>
      </c>
      <c r="G7" s="9"/>
    </row>
    <row r="8" customFormat="false" ht="15" hidden="false" customHeight="false" outlineLevel="0" collapsed="false">
      <c r="A8" s="7" t="n">
        <v>533</v>
      </c>
      <c r="B8" s="8" t="n">
        <f aca="false">550000+A8</f>
        <v>550533</v>
      </c>
      <c r="C8" s="9" t="s">
        <v>156</v>
      </c>
      <c r="D8" s="9" t="s">
        <v>157</v>
      </c>
      <c r="E8" s="10" t="n">
        <v>2.6</v>
      </c>
      <c r="F8" s="7" t="s">
        <v>31</v>
      </c>
      <c r="G8" s="9"/>
    </row>
    <row r="9" customFormat="false" ht="15" hidden="false" customHeight="false" outlineLevel="0" collapsed="false">
      <c r="A9" s="7" t="n">
        <v>535</v>
      </c>
      <c r="B9" s="8" t="n">
        <f aca="false">550000+A9</f>
        <v>550535</v>
      </c>
      <c r="C9" s="9" t="s">
        <v>158</v>
      </c>
      <c r="D9" s="9" t="s">
        <v>159</v>
      </c>
      <c r="E9" s="10" t="n">
        <v>3.6</v>
      </c>
      <c r="F9" s="7" t="s">
        <v>31</v>
      </c>
      <c r="G9" s="9"/>
    </row>
    <row r="10" customFormat="false" ht="15" hidden="false" customHeight="false" outlineLevel="0" collapsed="false">
      <c r="A10" s="7" t="n">
        <v>541</v>
      </c>
      <c r="B10" s="8" t="n">
        <f aca="false">550000+A10</f>
        <v>550541</v>
      </c>
      <c r="C10" s="9" t="s">
        <v>160</v>
      </c>
      <c r="D10" s="9" t="s">
        <v>161</v>
      </c>
      <c r="E10" s="10" t="n">
        <v>2.8</v>
      </c>
      <c r="F10" s="7" t="s">
        <v>31</v>
      </c>
      <c r="G10" s="9"/>
    </row>
    <row r="11" customFormat="false" ht="15" hidden="false" customHeight="false" outlineLevel="0" collapsed="false">
      <c r="A11" s="7" t="n">
        <v>542</v>
      </c>
      <c r="B11" s="8" t="n">
        <f aca="false">550000+A11</f>
        <v>550542</v>
      </c>
      <c r="C11" s="9" t="s">
        <v>162</v>
      </c>
      <c r="D11" s="9" t="s">
        <v>163</v>
      </c>
      <c r="E11" s="10" t="n">
        <v>2.9</v>
      </c>
      <c r="F11" s="7" t="s">
        <v>31</v>
      </c>
      <c r="G11" s="9"/>
    </row>
    <row r="12" customFormat="false" ht="15" hidden="false" customHeight="false" outlineLevel="0" collapsed="false">
      <c r="A12" s="7" t="n">
        <v>563</v>
      </c>
      <c r="B12" s="8" t="n">
        <f aca="false">550000+A12</f>
        <v>550563</v>
      </c>
      <c r="C12" s="9" t="s">
        <v>164</v>
      </c>
      <c r="D12" s="9" t="s">
        <v>165</v>
      </c>
      <c r="E12" s="10" t="n">
        <v>3.5</v>
      </c>
      <c r="F12" s="7" t="s">
        <v>31</v>
      </c>
      <c r="G12" s="9"/>
    </row>
    <row r="13" customFormat="false" ht="15" hidden="false" customHeight="false" outlineLevel="0" collapsed="false">
      <c r="A13" s="7" t="n">
        <v>555</v>
      </c>
      <c r="B13" s="8" t="n">
        <f aca="false">550000+A13</f>
        <v>550555</v>
      </c>
      <c r="C13" s="9" t="s">
        <v>166</v>
      </c>
      <c r="D13" s="11" t="s">
        <v>167</v>
      </c>
      <c r="E13" s="10" t="n">
        <v>5.5</v>
      </c>
      <c r="F13" s="7" t="s">
        <v>31</v>
      </c>
      <c r="G13" s="9"/>
    </row>
    <row r="14" customFormat="false" ht="15" hidden="false" customHeight="false" outlineLevel="0" collapsed="false">
      <c r="A14" s="7" t="n">
        <v>557</v>
      </c>
      <c r="B14" s="8" t="n">
        <f aca="false">550000+A14</f>
        <v>550557</v>
      </c>
      <c r="C14" s="9" t="s">
        <v>168</v>
      </c>
      <c r="D14" s="9" t="s">
        <v>169</v>
      </c>
      <c r="E14" s="10" t="n">
        <v>4.2</v>
      </c>
      <c r="F14" s="7" t="s">
        <v>31</v>
      </c>
      <c r="G14" s="9"/>
    </row>
  </sheetData>
  <autoFilter ref="A2:G14"/>
  <conditionalFormatting sqref="F3:F14">
    <cfRule type="cellIs" priority="2" operator="equal" aboveAverage="0" equalAverage="0" bottom="0" percent="0" rank="0" text="" dxfId="4">
      <formula>"Yes"</formula>
    </cfRule>
  </conditionalFormatting>
  <dataValidations count="1">
    <dataValidation allowBlank="true" errorStyle="stop" operator="between" showDropDown="false" showErrorMessage="false" showInputMessage="false" sqref="F3:F14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5"/>
    <col collapsed="false" customWidth="true" hidden="false" outlineLevel="0" max="3" min="3" style="0" width="48"/>
    <col collapsed="false" customWidth="true" hidden="false" outlineLevel="0" max="4" min="4" style="0" width="52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60"/>
  </cols>
  <sheetData>
    <row r="1" customFormat="false" ht="15" hidden="false" customHeight="false" outlineLevel="0" collapsed="false">
      <c r="A1" s="5" t="s">
        <v>170</v>
      </c>
    </row>
    <row r="2" customFormat="false" ht="15" hidden="false" customHeight="false" outlineLevel="0" collapsed="false">
      <c r="A2" s="6" t="s">
        <v>23</v>
      </c>
      <c r="B2" s="6" t="s">
        <v>24</v>
      </c>
      <c r="C2" s="6" t="s">
        <v>25</v>
      </c>
      <c r="D2" s="6" t="s">
        <v>26</v>
      </c>
      <c r="E2" s="6" t="s">
        <v>27</v>
      </c>
      <c r="F2" s="6" t="s">
        <v>3</v>
      </c>
      <c r="G2" s="6" t="s">
        <v>28</v>
      </c>
    </row>
    <row r="3" customFormat="false" ht="15" hidden="false" customHeight="false" outlineLevel="0" collapsed="false">
      <c r="A3" s="7" t="n">
        <v>518</v>
      </c>
      <c r="B3" s="8" t="n">
        <f aca="false">550000+A3</f>
        <v>550518</v>
      </c>
      <c r="C3" s="9" t="s">
        <v>171</v>
      </c>
      <c r="D3" s="9" t="s">
        <v>172</v>
      </c>
      <c r="E3" s="10" t="n">
        <v>6.8</v>
      </c>
      <c r="F3" s="7" t="s">
        <v>31</v>
      </c>
      <c r="G3" s="9"/>
    </row>
    <row r="4" customFormat="false" ht="15" hidden="false" customHeight="false" outlineLevel="0" collapsed="false">
      <c r="A4" s="7" t="n">
        <v>534</v>
      </c>
      <c r="B4" s="8" t="n">
        <f aca="false">550000+A4</f>
        <v>550534</v>
      </c>
      <c r="C4" s="9" t="s">
        <v>173</v>
      </c>
      <c r="D4" s="11" t="s">
        <v>174</v>
      </c>
      <c r="E4" s="10" t="n">
        <v>6</v>
      </c>
      <c r="F4" s="7" t="s">
        <v>31</v>
      </c>
      <c r="G4" s="9"/>
    </row>
    <row r="5" customFormat="false" ht="15" hidden="false" customHeight="false" outlineLevel="0" collapsed="false">
      <c r="A5" s="7" t="n">
        <v>520</v>
      </c>
      <c r="B5" s="8" t="n">
        <f aca="false">550000+A5</f>
        <v>550520</v>
      </c>
      <c r="C5" s="9" t="s">
        <v>175</v>
      </c>
      <c r="D5" s="9" t="s">
        <v>176</v>
      </c>
      <c r="E5" s="10" t="n">
        <v>7.5</v>
      </c>
      <c r="F5" s="7" t="s">
        <v>31</v>
      </c>
      <c r="G5" s="9"/>
    </row>
    <row r="6" customFormat="false" ht="15" hidden="false" customHeight="false" outlineLevel="0" collapsed="false">
      <c r="A6" s="7" t="n">
        <v>521</v>
      </c>
      <c r="B6" s="8" t="n">
        <f aca="false">550000+A6</f>
        <v>550521</v>
      </c>
      <c r="C6" s="9" t="s">
        <v>177</v>
      </c>
      <c r="D6" s="9" t="s">
        <v>178</v>
      </c>
      <c r="E6" s="10" t="n">
        <v>7.9</v>
      </c>
      <c r="F6" s="7" t="s">
        <v>31</v>
      </c>
      <c r="G6" s="9"/>
    </row>
    <row r="7" customFormat="false" ht="15" hidden="false" customHeight="false" outlineLevel="0" collapsed="false">
      <c r="A7" s="7" t="n">
        <v>519</v>
      </c>
      <c r="B7" s="8" t="n">
        <f aca="false">550000+A7</f>
        <v>550519</v>
      </c>
      <c r="C7" s="9" t="s">
        <v>179</v>
      </c>
      <c r="D7" s="9" t="s">
        <v>180</v>
      </c>
      <c r="E7" s="10" t="n">
        <v>7</v>
      </c>
      <c r="F7" s="7" t="s">
        <v>31</v>
      </c>
      <c r="G7" s="9"/>
    </row>
    <row r="8" customFormat="false" ht="15" hidden="false" customHeight="false" outlineLevel="0" collapsed="false">
      <c r="A8" s="7" t="n">
        <v>551</v>
      </c>
      <c r="B8" s="8" t="n">
        <f aca="false">550000+A8</f>
        <v>550551</v>
      </c>
      <c r="C8" s="9" t="s">
        <v>181</v>
      </c>
      <c r="D8" s="9" t="s">
        <v>182</v>
      </c>
      <c r="E8" s="10" t="n">
        <v>7.8</v>
      </c>
      <c r="F8" s="7" t="s">
        <v>31</v>
      </c>
      <c r="G8" s="9"/>
    </row>
    <row r="9" customFormat="false" ht="15" hidden="false" customHeight="false" outlineLevel="0" collapsed="false">
      <c r="A9" s="7" t="n">
        <v>556</v>
      </c>
      <c r="B9" s="8" t="n">
        <f aca="false">550000+A9</f>
        <v>550556</v>
      </c>
      <c r="C9" s="9" t="s">
        <v>183</v>
      </c>
      <c r="D9" s="11" t="s">
        <v>184</v>
      </c>
      <c r="E9" s="10" t="n">
        <v>4.7</v>
      </c>
      <c r="F9" s="7" t="s">
        <v>31</v>
      </c>
      <c r="G9" s="9"/>
    </row>
    <row r="10" customFormat="false" ht="15" hidden="false" customHeight="false" outlineLevel="0" collapsed="false">
      <c r="A10" s="7" t="n">
        <v>546</v>
      </c>
      <c r="B10" s="8" t="n">
        <f aca="false">550000+A10</f>
        <v>550546</v>
      </c>
      <c r="C10" s="9" t="s">
        <v>185</v>
      </c>
      <c r="D10" s="11" t="s">
        <v>186</v>
      </c>
      <c r="E10" s="10" t="n">
        <v>5.6</v>
      </c>
      <c r="F10" s="7" t="s">
        <v>31</v>
      </c>
      <c r="G10" s="9"/>
    </row>
  </sheetData>
  <autoFilter ref="A2:G10"/>
  <conditionalFormatting sqref="F3:F10">
    <cfRule type="cellIs" priority="2" operator="equal" aboveAverage="0" equalAverage="0" bottom="0" percent="0" rank="0" text="" dxfId="4">
      <formula>"Yes"</formula>
    </cfRule>
  </conditionalFormatting>
  <dataValidations count="1">
    <dataValidation allowBlank="true" errorStyle="stop" operator="between" showDropDown="false" showErrorMessage="false" showInputMessage="false" sqref="F3:F10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5"/>
    <col collapsed="false" customWidth="true" hidden="false" outlineLevel="0" max="3" min="3" style="0" width="48"/>
    <col collapsed="false" customWidth="true" hidden="false" outlineLevel="0" max="4" min="4" style="0" width="52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60"/>
  </cols>
  <sheetData>
    <row r="1" customFormat="false" ht="15" hidden="false" customHeight="false" outlineLevel="0" collapsed="false">
      <c r="A1" s="12" t="s">
        <v>187</v>
      </c>
    </row>
    <row r="2" customFormat="false" ht="15" hidden="false" customHeight="false" outlineLevel="0" collapsed="false">
      <c r="A2" s="6" t="s">
        <v>23</v>
      </c>
      <c r="B2" s="6" t="s">
        <v>24</v>
      </c>
      <c r="C2" s="6" t="s">
        <v>25</v>
      </c>
      <c r="D2" s="6" t="s">
        <v>26</v>
      </c>
      <c r="E2" s="6" t="s">
        <v>27</v>
      </c>
      <c r="F2" s="6" t="s">
        <v>3</v>
      </c>
      <c r="G2" s="6" t="s">
        <v>28</v>
      </c>
    </row>
    <row r="3" customFormat="false" ht="15" hidden="false" customHeight="false" outlineLevel="0" collapsed="false">
      <c r="A3" s="7" t="n">
        <v>101</v>
      </c>
      <c r="B3" s="8" t="n">
        <f aca="false">550000+A3</f>
        <v>550101</v>
      </c>
      <c r="C3" s="9" t="s">
        <v>188</v>
      </c>
      <c r="D3" s="9" t="s">
        <v>189</v>
      </c>
      <c r="E3" s="10" t="n">
        <v>0</v>
      </c>
      <c r="F3" s="7" t="s">
        <v>31</v>
      </c>
      <c r="G3" s="9"/>
    </row>
    <row r="4" customFormat="false" ht="15" hidden="false" customHeight="false" outlineLevel="0" collapsed="false">
      <c r="A4" s="7" t="n">
        <v>401</v>
      </c>
      <c r="B4" s="8" t="n">
        <f aca="false">550000+A4</f>
        <v>550401</v>
      </c>
      <c r="C4" s="9" t="s">
        <v>190</v>
      </c>
      <c r="D4" s="9" t="s">
        <v>191</v>
      </c>
      <c r="E4" s="10" t="n">
        <v>3.1</v>
      </c>
      <c r="F4" s="7" t="s">
        <v>31</v>
      </c>
      <c r="G4" s="9" t="s">
        <v>192</v>
      </c>
    </row>
    <row r="5" customFormat="false" ht="15" hidden="false" customHeight="false" outlineLevel="0" collapsed="false">
      <c r="A5" s="7" t="n">
        <v>402</v>
      </c>
      <c r="B5" s="8" t="n">
        <f aca="false">550000+A5</f>
        <v>550402</v>
      </c>
      <c r="C5" s="9" t="s">
        <v>193</v>
      </c>
      <c r="D5" s="9" t="s">
        <v>194</v>
      </c>
      <c r="E5" s="10" t="n">
        <v>3.1</v>
      </c>
      <c r="F5" s="7" t="s">
        <v>31</v>
      </c>
      <c r="G5" s="9" t="s">
        <v>192</v>
      </c>
    </row>
    <row r="6" customFormat="false" ht="15" hidden="false" customHeight="false" outlineLevel="0" collapsed="false">
      <c r="A6" s="7" t="n">
        <v>403</v>
      </c>
      <c r="B6" s="8" t="n">
        <f aca="false">550000+A6</f>
        <v>550403</v>
      </c>
      <c r="C6" s="9" t="s">
        <v>195</v>
      </c>
      <c r="D6" s="9" t="s">
        <v>196</v>
      </c>
      <c r="E6" s="10" t="n">
        <v>5.5</v>
      </c>
      <c r="F6" s="7" t="s">
        <v>31</v>
      </c>
      <c r="G6" s="9" t="s">
        <v>192</v>
      </c>
    </row>
  </sheetData>
  <autoFilter ref="A2:G6"/>
  <conditionalFormatting sqref="F3:F6">
    <cfRule type="cellIs" priority="2" operator="equal" aboveAverage="0" equalAverage="0" bottom="0" percent="0" rank="0" text="" dxfId="4">
      <formula>"Yes"</formula>
    </cfRule>
  </conditionalFormatting>
  <dataValidations count="1">
    <dataValidation allowBlank="true" errorStyle="stop" operator="between" showDropDown="false" showErrorMessage="false" showInputMessage="false" sqref="F3:F6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2026-10-06T10:53:10Z</dcterms:created>
  <dc:creator>openpyxl</dc:creator>
  <dc:description/>
  <dc:language>en-US</dc:language>
  <cp:lastModifiedBy/>
  <dcterms:modified xsi:type="dcterms:W3CDTF">2026-10-06T13:56:43Z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